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Global_Params" sheetId="2" r:id="rId6"/>
    <sheet state="visible" name="Growth_Curve" sheetId="3" r:id="rId7"/>
    <sheet state="visible" name="Maps" sheetId="4" r:id="rId8"/>
    <sheet state="visible" name="Factions" sheetId="5" r:id="rId9"/>
    <sheet state="visible" name="Resources" sheetId="6" r:id="rId10"/>
    <sheet state="visible" name="Harvester_Upgrades" sheetId="7" r:id="rId11"/>
    <sheet state="visible" name="Star_Rubric" sheetId="8" r:id="rId12"/>
    <sheet state="visible" name="Wave_Table" sheetId="9" r:id="rId13"/>
    <sheet state="visible" name="Score_Model" sheetId="10" r:id="rId14"/>
    <sheet state="visible" name="Resource_Roles" sheetId="11" r:id="rId15"/>
    <sheet state="visible" name="Tech_Tree" sheetId="12" r:id="rId16"/>
    <sheet state="visible" name="Quest_Contract" sheetId="13" r:id="rId17"/>
  </sheets>
  <definedNames/>
  <calcPr/>
</workbook>
</file>

<file path=xl/sharedStrings.xml><?xml version="1.0" encoding="utf-8"?>
<sst xmlns="http://schemas.openxmlformats.org/spreadsheetml/2006/main" count="656" uniqueCount="481">
  <si>
    <t>Bulwark — Map Data Workbook</t>
  </si>
  <si>
    <t>Companion to Bulwark-Map-GDD.md. Every number here is a design lever; the GDD explains why.</t>
  </si>
  <si>
    <t>HOW TO USE THIS WORKBOOK</t>
  </si>
  <si>
    <t>Blue text</t>
  </si>
  <si>
    <t>Hardcoded input — this is a knob you turn.</t>
  </si>
  <si>
    <t>Black text</t>
  </si>
  <si>
    <t>Formula — derived. Do not overwrite.</t>
  </si>
  <si>
    <t>Green text</t>
  </si>
  <si>
    <t>Pulls from another sheet.</t>
  </si>
  <si>
    <t>Yellow fill</t>
  </si>
  <si>
    <t>Key assumption. Flagged because it was invented, not specified.</t>
  </si>
  <si>
    <t>EDIT THESE SHEETS</t>
  </si>
  <si>
    <t>Global_Params</t>
  </si>
  <si>
    <t>Master tunables. Everything downstream recalculates from here.</t>
  </si>
  <si>
    <t>Growth_Curve</t>
  </si>
  <si>
    <t>The 8-wave ring expansion shape. The single most important curve in the design.</t>
  </si>
  <si>
    <t>Maps</t>
  </si>
  <si>
    <t>The 9-map sequence: dimensions, primary resource, difficulty.</t>
  </si>
  <si>
    <t>Factions</t>
  </si>
  <si>
    <t>The 9 factions: premium resource, harvester yield.</t>
  </si>
  <si>
    <t>Resources</t>
  </si>
  <si>
    <t>Value, node yield, respawn rules per resource type.</t>
  </si>
  <si>
    <t>Harvester_Upgrades</t>
  </si>
  <si>
    <t>Between-match progression.</t>
  </si>
  <si>
    <t>Star_Rubric</t>
  </si>
  <si>
    <t>The 5 wave-star conditions and their thresholds.</t>
  </si>
  <si>
    <t>DERIVED — DO NOT HAND-EDIT</t>
  </si>
  <si>
    <t>Wave_Table</t>
  </si>
  <si>
    <t>72 rows (9 maps x 8 waves). The build target. Every field is a formula.</t>
  </si>
  <si>
    <t>Score_Model</t>
  </si>
  <si>
    <t>Worked example of the map score and the 3.0-star gate.</t>
  </si>
  <si>
    <t>OPEN ASSUMPTIONS (yellow cells)</t>
  </si>
  <si>
    <t>Map + faction names</t>
  </si>
  <si>
    <t>Placeholders. Real names live in Bulwark GDD v2.0 — swap them in.</t>
  </si>
  <si>
    <t>Map dimensions 2-8</t>
  </si>
  <si>
    <t>Only the small (24x16) and large (64x32) maps were specified. Maps 2-8 are interpolated.</t>
  </si>
  <si>
    <t>All balance numbers</t>
  </si>
  <si>
    <t>First-pass. They exist so the curve is playable, not because they are right.</t>
  </si>
  <si>
    <t>Global Parameters</t>
  </si>
  <si>
    <t>Master knobs. Wave_Table and Score_Model read from here.</t>
  </si>
  <si>
    <t>Param</t>
  </si>
  <si>
    <t>Value</t>
  </si>
  <si>
    <t>Unit</t>
  </si>
  <si>
    <t>Notes</t>
  </si>
  <si>
    <t>STRUCTURE</t>
  </si>
  <si>
    <t>Maps_In_Campaign</t>
  </si>
  <si>
    <t>count</t>
  </si>
  <si>
    <t>Fixed sequence, all must be cleared.</t>
  </si>
  <si>
    <t>Waves_Per_Map</t>
  </si>
  <si>
    <t>One dialog interaction after each wave.</t>
  </si>
  <si>
    <t>Star_Gate</t>
  </si>
  <si>
    <t>stars</t>
  </si>
  <si>
    <t>Average wave stars needed to unlock the next map.</t>
  </si>
  <si>
    <t>Max_Stars_Per_Wave</t>
  </si>
  <si>
    <t>See Star_Rubric — 5 independent points.</t>
  </si>
  <si>
    <t>GRID</t>
  </si>
  <si>
    <t>Map1_Width</t>
  </si>
  <si>
    <t>tiles</t>
  </si>
  <si>
    <t>Smallest map, as specified.</t>
  </si>
  <si>
    <t>Map1_Height</t>
  </si>
  <si>
    <t>Map9_Width</t>
  </si>
  <si>
    <t>Largest map, as specified.</t>
  </si>
  <si>
    <t>Map9_Height</t>
  </si>
  <si>
    <t>SPAWNS</t>
  </si>
  <si>
    <t>Spawn_Setback</t>
  </si>
  <si>
    <t>Spawn sits this far OUTSIDE the current playable edge.</t>
  </si>
  <si>
    <t>Base_Spawn_Budget</t>
  </si>
  <si>
    <t>pts</t>
  </si>
  <si>
    <t>Wave 1, map 1 enemy budget. Scales by wave ramp x map difficulty.</t>
  </si>
  <si>
    <t>Wave_Ramp</t>
  </si>
  <si>
    <t>per wave</t>
  </si>
  <si>
    <t>Budget growth per wave within a map.</t>
  </si>
  <si>
    <t>Air_Share_W1</t>
  </si>
  <si>
    <t>fraction</t>
  </si>
  <si>
    <t>Air share of budget at wave 1.</t>
  </si>
  <si>
    <t>Air_Share_W8</t>
  </si>
  <si>
    <t>Air share of budget at wave 8. Air pressure ramps.</t>
  </si>
  <si>
    <t>Water_Share</t>
  </si>
  <si>
    <t>Flat. Water lanes only exist on water-bearing maps.</t>
  </si>
  <si>
    <t>ECONOMY</t>
  </si>
  <si>
    <t>Gold_Per_Resource</t>
  </si>
  <si>
    <t>gold/unit</t>
  </si>
  <si>
    <t>Conversion at map end.</t>
  </si>
  <si>
    <t>Time_Bonus_Cap</t>
  </si>
  <si>
    <t>gold</t>
  </si>
  <si>
    <t>Max completion-time bonus on a perfect-tempo run.</t>
  </si>
  <si>
    <t>Par_Time_Per_100_Tiles</t>
  </si>
  <si>
    <t>sec</t>
  </si>
  <si>
    <t>Par time scales with total playable area.</t>
  </si>
  <si>
    <t>Premium_Ring_Seed</t>
  </si>
  <si>
    <t>nodes</t>
  </si>
  <si>
    <t>Fresh premium nodes seeded in EACH newly-opened ring.</t>
  </si>
  <si>
    <t>Primary_Respawn_Sec</t>
  </si>
  <si>
    <t>Primary respawns in-match. Premium NEVER does.</t>
  </si>
  <si>
    <t>Uncollectable_Floor</t>
  </si>
  <si>
    <t>Min share of map resource that must remain uncollectable.</t>
  </si>
  <si>
    <t>QUEST / LOYALTY</t>
  </si>
  <si>
    <t>Quest_First_Wave</t>
  </si>
  <si>
    <t>wave</t>
  </si>
  <si>
    <t>Quest resource appears only in the LAST 4 WAVES, as the map fans out.</t>
  </si>
  <si>
    <t>Quest_Edge_Band</t>
  </si>
  <si>
    <t>Quest nodes spawn beyond this fraction of the playable radius. Far edge only.</t>
  </si>
  <si>
    <t>Quest_Jitter_Tiles</t>
  </si>
  <si>
    <t>Random scatter on placement. The player cannot pre-plan the route.</t>
  </si>
  <si>
    <t>Loyalty_Per_Node</t>
  </si>
  <si>
    <t>Loyalty awarded per quest node fully harvested.</t>
  </si>
  <si>
    <t>Rival_Penalty</t>
  </si>
  <si>
    <t>Loyalty gained with a faction is LOST with its rival at this rate.</t>
  </si>
  <si>
    <t>Tech_T1_Threshold</t>
  </si>
  <si>
    <t>loyalty</t>
  </si>
  <si>
    <t>Unlocks the faction's UNIT.</t>
  </si>
  <si>
    <t>Tech_T2_Threshold</t>
  </si>
  <si>
    <t>Unlocks the faction's STRUCTURE.</t>
  </si>
  <si>
    <t>Tech_T3_Threshold</t>
  </si>
  <si>
    <t>Unlocks the faction's BASE UPGRADE.</t>
  </si>
  <si>
    <t>QUEST CONTRACT</t>
  </si>
  <si>
    <t>Decline_Cost</t>
  </si>
  <si>
    <t>Lost with the giver when you REFUSE their quest. There is no neutral option.</t>
  </si>
  <si>
    <t>Decline_Rival_Gain</t>
  </si>
  <si>
    <t>Refusing a faction PLEASES its rival, at this share of Decline_Cost.</t>
  </si>
  <si>
    <t>Fulfil_Threshold</t>
  </si>
  <si>
    <t>Harvest at least this share of quest nodes or the contract is FAILED.</t>
  </si>
  <si>
    <t>Broken_Promise_Penalty</t>
  </si>
  <si>
    <t>Extra loss for accepting and failing. MUST exceed Decline_Cost.</t>
  </si>
  <si>
    <t>Yellow = invented first-pass value. Tune in playtest.</t>
  </si>
  <si>
    <t>Broken_Promise_Penalty MUST be &gt; Decline_Cost, or overpromising is cheaper than refusing and the contract has no weight.</t>
  </si>
  <si>
    <t>Ring Growth Curve</t>
  </si>
  <si>
    <t>Linear fraction of the full map that is playable at each wave. Slow-fast-slow: small openings early, the big reveal at waves 4-6, a modest final ring.</t>
  </si>
  <si>
    <t>Wave</t>
  </si>
  <si>
    <t>Linear_Fraction</t>
  </si>
  <si>
    <t>Area_Fraction</t>
  </si>
  <si>
    <t>Ring_Area_Added</t>
  </si>
  <si>
    <t>Shape Note</t>
  </si>
  <si>
    <t>Start pocket. Player can see the walls.</t>
  </si>
  <si>
    <t>Teaser. One new crop, one new spawn angle.</t>
  </si>
  <si>
    <t>Primary field opens. Harvester routing starts to matter.</t>
  </si>
  <si>
    <t>THE REVEAL. Area nearly doubles. Premium is suddenly far away.</t>
  </si>
  <si>
    <t>Overextension wave. Spawn distance is now real travel time.</t>
  </si>
  <si>
    <t>Consolidation. Growth slows, pressure does not.</t>
  </si>
  <si>
    <t>Last sliver. Almost nothing new to grab.</t>
  </si>
  <si>
    <t>Full map. Final stand, then the map score.</t>
  </si>
  <si>
    <t>Area_Fraction = Linear_Fraction^2 (both axes scale together, so the map keeps its aspect ratio).</t>
  </si>
  <si>
    <t>Ring_Area_Added is the design signal: it should peak at wave 4-5. If it is flat, the mid-game is flat.</t>
  </si>
  <si>
    <t>Map Sequence (9 maps, fixed order)</t>
  </si>
  <si>
    <t>The MAP sets the primary resource. The FACTION sets the premium — see Factions.</t>
  </si>
  <si>
    <t>Map_ID</t>
  </si>
  <si>
    <t>Map_Name</t>
  </si>
  <si>
    <t>Full_W</t>
  </si>
  <si>
    <t>Full_H</t>
  </si>
  <si>
    <t>Full_Area</t>
  </si>
  <si>
    <t>Primary_Resource</t>
  </si>
  <si>
    <t>Has_Water</t>
  </si>
  <si>
    <t>Difficulty</t>
  </si>
  <si>
    <t>Par_Time_Sec</t>
  </si>
  <si>
    <t>Quest_Giver_Faction</t>
  </si>
  <si>
    <t>Map_01</t>
  </si>
  <si>
    <t>Flowers</t>
  </si>
  <si>
    <t>No</t>
  </si>
  <si>
    <t>Tutorial pressure. Ground only. Teaches the ring.</t>
  </si>
  <si>
    <t>Map_02</t>
  </si>
  <si>
    <t>Air introduced. Same footprint, new axis.</t>
  </si>
  <si>
    <t>Map_03</t>
  </si>
  <si>
    <t>Minerals</t>
  </si>
  <si>
    <t>Yes</t>
  </si>
  <si>
    <t>Water lanes. Harvester escort becomes a thing.</t>
  </si>
  <si>
    <t>Map_04</t>
  </si>
  <si>
    <t>First mid-size map. The reveal wave lands hard here.</t>
  </si>
  <si>
    <t>Map_05</t>
  </si>
  <si>
    <t>Crystals</t>
  </si>
  <si>
    <t>Crystals: high value, slow harvest. Tempo trap.</t>
  </si>
  <si>
    <t>Map_06</t>
  </si>
  <si>
    <t>Three-way spawn pressure.</t>
  </si>
  <si>
    <t>Map_07</t>
  </si>
  <si>
    <t>Widest ground field. Routing puzzle.</t>
  </si>
  <si>
    <t>Map_08</t>
  </si>
  <si>
    <t>Premium is deliberately stranded far out.</t>
  </si>
  <si>
    <t>Map_09</t>
  </si>
  <si>
    <t>Full 64x32. Everything at once.</t>
  </si>
  <si>
    <t>Quest_Giver_Faction: whose loyalty the map's quest resource earns. Each map serves a different faction's quest.</t>
  </si>
  <si>
    <t>Par_Time_Sec is the WHOLE map (8 waves). Difficulty scales spawn budget. Full_W/Full_H interpolated — only maps 1 and 9 specified.</t>
  </si>
  <si>
    <t>Factions (9) — Premium Resource &amp; Harvester Profile</t>
  </si>
  <si>
    <t>Faction names are placeholders; pull the real nine from Bulwark GDD v2.0.</t>
  </si>
  <si>
    <t>Faction_ID</t>
  </si>
  <si>
    <t>Faction_Name</t>
  </si>
  <si>
    <t>Premium_Resource</t>
  </si>
  <si>
    <t>Premium_Secondary</t>
  </si>
  <si>
    <t>Rival_Faction</t>
  </si>
  <si>
    <t>Yield_Mult</t>
  </si>
  <si>
    <t>Harvester_Base_Capacity</t>
  </si>
  <si>
    <t>Harvester_Base_Speed</t>
  </si>
  <si>
    <t>Harvester_Base_HP</t>
  </si>
  <si>
    <t>Profile</t>
  </si>
  <si>
    <t>Faction_01</t>
  </si>
  <si>
    <t>Baseline. The tuning reference.</t>
  </si>
  <si>
    <t>Faction_02</t>
  </si>
  <si>
    <t>Fast, fragile. Grabs premium and runs.</t>
  </si>
  <si>
    <t>Faction_03</t>
  </si>
  <si>
    <t>Slow tank. Sits in the field and eats hits.</t>
  </si>
  <si>
    <t>Faction_04</t>
  </si>
  <si>
    <t>Generalist with a premium bias.</t>
  </si>
  <si>
    <t>Faction_05</t>
  </si>
  <si>
    <t>Highest yield, lowest survivability. Greed faction.</t>
  </si>
  <si>
    <t>Faction_06</t>
  </si>
  <si>
    <t>Escort-dependent.</t>
  </si>
  <si>
    <t>Faction_07</t>
  </si>
  <si>
    <t>Two harvesters, half capacity each (see GDD).</t>
  </si>
  <si>
    <t>Faction_08</t>
  </si>
  <si>
    <t>Balanced.</t>
  </si>
  <si>
    <t>Faction_09</t>
  </si>
  <si>
    <t>none</t>
  </si>
  <si>
    <t>UNALIGNED. No rival — the diplomat. Can court everyone.</t>
  </si>
  <si>
    <t>CLASH FIX: if a faction's premium == the map's primary, the premium SWAPS to Premium_Secondary.</t>
  </si>
  <si>
    <t>Premium_Secondary must never equal Premium_Resource. That single constraint guarantees the swap never re-collides,</t>
  </si>
  <si>
    <t>which guarantees all THREE resource types are always in play with three distinct roles. See Resource_Roles.</t>
  </si>
  <si>
    <t>RIVALS are reciprocal pairs: (1,2) (3,4) (5,6) (7,8). Faction 09 is unaligned and has no rival.</t>
  </si>
  <si>
    <t>An odd faction count means someone has to be the diplomat. Use it — 09 is the only faction that can max every tech tree.</t>
  </si>
  <si>
    <t>Resource Types</t>
  </si>
  <si>
    <t>Two tiers per map: the map's primary, and the faction's premium.</t>
  </si>
  <si>
    <t>Resource</t>
  </si>
  <si>
    <t>Tier</t>
  </si>
  <si>
    <t>Value_Per_Unit</t>
  </si>
  <si>
    <t>Units_Per_Node</t>
  </si>
  <si>
    <t>Harvest_Sec_Per_Node</t>
  </si>
  <si>
    <t>Respawns_In_Match</t>
  </si>
  <si>
    <t>Respawn_Sec</t>
  </si>
  <si>
    <t>Primary</t>
  </si>
  <si>
    <t>Cheap, fast, everywhere. The safe income.</t>
  </si>
  <si>
    <t>Slower to pull, better per node.</t>
  </si>
  <si>
    <t>Tempo trap: high value, brutal harvest time.</t>
  </si>
  <si>
    <t>Premium</t>
  </si>
  <si>
    <t>n/a</t>
  </si>
  <si>
    <t>Premium NEVER respawns. Seeded fresh per ring only.</t>
  </si>
  <si>
    <t>The greed prize. Deep in the new ring, every time.</t>
  </si>
  <si>
    <t>Premium/Primary value ratio is ~3.3x. That ratio IS the greed dial — raise it and players overextend.</t>
  </si>
  <si>
    <t>Harvester Upgrades (between matches)</t>
  </si>
  <si>
    <t>Bought with gold from the map score.</t>
  </si>
  <si>
    <t>Level</t>
  </si>
  <si>
    <t>Gold_Cost</t>
  </si>
  <si>
    <t>Cumulative_Gold</t>
  </si>
  <si>
    <t>Capacity_Mult</t>
  </si>
  <si>
    <t>Speed_Mult</t>
  </si>
  <si>
    <t>HP_Mult</t>
  </si>
  <si>
    <t>Unlock</t>
  </si>
  <si>
    <t>—</t>
  </si>
  <si>
    <t>Starting harvester.</t>
  </si>
  <si>
    <t>Pure throughput.</t>
  </si>
  <si>
    <t>Auto-return at 90%</t>
  </si>
  <si>
    <t>Reduces micro.</t>
  </si>
  <si>
    <t>2nd harvester</t>
  </si>
  <si>
    <t>The economy inflection. Two routes at once.</t>
  </si>
  <si>
    <t>Premium fast-harvest</t>
  </si>
  <si>
    <t>Endgame greed enabler.</t>
  </si>
  <si>
    <t>Cumulative cost to max = 11,300 gold. Sanity check it against 9 maps of net score in Score_Model.</t>
  </si>
  <si>
    <t>Wave Star Rubric — 5 independent points</t>
  </si>
  <si>
    <t>Wave stars average across the 8 waves. Average &gt;= 3.0 unlocks the next map.</t>
  </si>
  <si>
    <t>Star</t>
  </si>
  <si>
    <t>Condition</t>
  </si>
  <si>
    <t>Threshold</t>
  </si>
  <si>
    <t>Pressures</t>
  </si>
  <si>
    <t>Design Intent</t>
  </si>
  <si>
    <t>Core takes no damage this wave</t>
  </si>
  <si>
    <t>0 leaks</t>
  </si>
  <si>
    <t>Defense</t>
  </si>
  <si>
    <t>The floor. Bad defense costs a star immediately.</t>
  </si>
  <si>
    <t>Zero harvesters lost this wave</t>
  </si>
  <si>
    <t>0 losses</t>
  </si>
  <si>
    <t>Don't overextend</t>
  </si>
  <si>
    <t>Directly opposes star 4. That tension is the game.</t>
  </si>
  <si>
    <t>Primary quota met</t>
  </si>
  <si>
    <t>60% of primary in-ring</t>
  </si>
  <si>
    <t>Baseline harvesting</t>
  </si>
  <si>
    <t>Achievable while playing safe. Guarantees a 3-star floor.</t>
  </si>
  <si>
    <t>Premium claimed in the new ring</t>
  </si>
  <si>
    <t>All ring premium nodes</t>
  </si>
  <si>
    <t>Greed</t>
  </si>
  <si>
    <t>Fresh premium seeded every ring, so this star is ALWAYS live.</t>
  </si>
  <si>
    <t>Wave cleared under par time</t>
  </si>
  <si>
    <t>&lt;= wave par</t>
  </si>
  <si>
    <t>Tempo</t>
  </si>
  <si>
    <t>Opposes farming the primary respawn. Forces the player to leave value behind.</t>
  </si>
  <si>
    <t>GATE MATH</t>
  </si>
  <si>
    <t>3 stars = held the line and harvested competently. 4-5 = took the ring risk and got out clean.</t>
  </si>
  <si>
    <t>Gate is AVERAGE &gt;= 3.0 across 8 waves, so a player can eat one bad wave without restarting the map.</t>
  </si>
  <si>
    <t>Worst survivable run: seven 3-star waves + one 0-star wave = 2.63. FAILS. One disaster is not survivable.</t>
  </si>
  <si>
    <t>Seven 3-star waves + one 5-star wave = 3.25. PASSES. So a single greedy wave rescues a mediocre run.</t>
  </si>
  <si>
    <t>That asymmetry is intentional: it pushes players to take the greed star at least once per map.</t>
  </si>
  <si>
    <t>Wave Table — 72 rows (9 maps x 8 waves)</t>
  </si>
  <si>
    <t>THE BUILD TARGET. Every cell is derived. Change Global_Params / Growth_Curve / Maps and this recalculates.</t>
  </si>
  <si>
    <t>Playable_W</t>
  </si>
  <si>
    <t>Playable_H</t>
  </si>
  <si>
    <t>Playable_Area</t>
  </si>
  <si>
    <t>Spawn_Dist_X</t>
  </si>
  <si>
    <t>Spawn_Dist_Y</t>
  </si>
  <si>
    <t>Side_Focus</t>
  </si>
  <si>
    <t>Spawn_Budget</t>
  </si>
  <si>
    <t>Ground_Pts</t>
  </si>
  <si>
    <t>Air_Pts</t>
  </si>
  <si>
    <t>Water_Pts</t>
  </si>
  <si>
    <t>Primary_Nodes</t>
  </si>
  <si>
    <t>Premium_Nodes</t>
  </si>
  <si>
    <t>Primary_Quota_Nodes</t>
  </si>
  <si>
    <t>Wave_Par_Sec</t>
  </si>
  <si>
    <t>Map_Primary</t>
  </si>
  <si>
    <t>Quest_Nodes</t>
  </si>
  <si>
    <t>Quest_Side</t>
  </si>
  <si>
    <t>Quest_Band_Min_X</t>
  </si>
  <si>
    <t>Quest_Band_Min_Y</t>
  </si>
  <si>
    <t>Quest_Jitter</t>
  </si>
  <si>
    <t>Loyalty_Available</t>
  </si>
  <si>
    <t>L</t>
  </si>
  <si>
    <t>R</t>
  </si>
  <si>
    <t>T</t>
  </si>
  <si>
    <t>B</t>
  </si>
  <si>
    <t>Primary_Nodes = 1 node per ~45 playable tiles (density knob — edit the divisor).</t>
  </si>
  <si>
    <t>Premium_Nodes = fresh seed in EACH ring, so the greed star never goes stale.</t>
  </si>
  <si>
    <t>Side_Focus cycles L/R with a T/B break at waves 7-8, offset per map so no two maps feel identical.</t>
  </si>
  <si>
    <t>Playable_W is forced to grow &gt;=2 tiles every wave, so EVERY wave opens a real ring. Wave 8 always equals the full map.</t>
  </si>
  <si>
    <t>QUEST appears only in waves 5-8. Quest_Side is the OPPOSITE of Side_Focus: premium is paid for in blood, quest is paid for in tempo.</t>
  </si>
  <si>
    <t>Quest_Band_Min_X/Y = the inner edge of the far band, measured from map center. Nodes scatter beyond it by up to Quest_Jitter tiles.</t>
  </si>
  <si>
    <t>Map Score Model</t>
  </si>
  <si>
    <t>Worked example. Map 5 / Faction 5 (the greed faction). Edit the blue cells.</t>
  </si>
  <si>
    <t>Item</t>
  </si>
  <si>
    <t>INPUTS</t>
  </si>
  <si>
    <t>Row 9 in Maps.</t>
  </si>
  <si>
    <t>Row 9 in Factions.</t>
  </si>
  <si>
    <t>Primary_Units_Collected</t>
  </si>
  <si>
    <t>Player choice. Cap is roughly total nodes x units/node.</t>
  </si>
  <si>
    <t>Premium_Units_Collected</t>
  </si>
  <si>
    <t>The greed number. Every unit here was a risk taken.</t>
  </si>
  <si>
    <t>Gold_Spent_On_Towers</t>
  </si>
  <si>
    <t>Subtracted at full rate.</t>
  </si>
  <si>
    <t>Gold_Spent_On_Harvesters</t>
  </si>
  <si>
    <t>Subtracted at the harvester rate below.</t>
  </si>
  <si>
    <t>Harvester_Spend_Rate</t>
  </si>
  <si>
    <t>Harvester spend is only HALF-subtracted — it is investment, not waste.</t>
  </si>
  <si>
    <t>Actual_Clear_Time_Sec</t>
  </si>
  <si>
    <t>Beat Maps!I9 to earn the time bonus.</t>
  </si>
  <si>
    <t>DERIVED</t>
  </si>
  <si>
    <t>Faction_Yield_Mult</t>
  </si>
  <si>
    <t>From Factions.</t>
  </si>
  <si>
    <t>Map_Primary_Resource</t>
  </si>
  <si>
    <t>The MAP sets this.</t>
  </si>
  <si>
    <t>Faction_Premium_Resource</t>
  </si>
  <si>
    <t>The FACTION sets this.</t>
  </si>
  <si>
    <t>Primary_Value_Per_Unit</t>
  </si>
  <si>
    <t>Looked up by name + tier.</t>
  </si>
  <si>
    <t>Premium_Value_Per_Unit</t>
  </si>
  <si>
    <t>Map_Par_Time_Sec</t>
  </si>
  <si>
    <t>Whole-map par (8 waves).</t>
  </si>
  <si>
    <t>SCORE</t>
  </si>
  <si>
    <t>Gold_From_Primary</t>
  </si>
  <si>
    <t>The safe income.</t>
  </si>
  <si>
    <t>Gold_From_Premium</t>
  </si>
  <si>
    <t>The reward for overextending.</t>
  </si>
  <si>
    <t>Less: Resource_Spent</t>
  </si>
  <si>
    <t>Towers at full rate, harvesters at the discounted rate. See the note below.</t>
  </si>
  <si>
    <t>Time_Bonus</t>
  </si>
  <si>
    <t>Zero if you go over par. Directly punishes farming the primary respawn.</t>
  </si>
  <si>
    <t>MAP SCORE (gold)</t>
  </si>
  <si>
    <t>Banked as gold. Spend it in Harvester_Upgrades.</t>
  </si>
  <si>
    <t>STAR GATE (separate track)</t>
  </si>
  <si>
    <t>Wave 1 stars</t>
  </si>
  <si>
    <t>0-5, per Star_Rubric.</t>
  </si>
  <si>
    <t>Wave 2 stars</t>
  </si>
  <si>
    <t>Wave 3 stars</t>
  </si>
  <si>
    <t>Wave 4 stars</t>
  </si>
  <si>
    <t>Wave 5 stars</t>
  </si>
  <si>
    <t>Wave 6 stars</t>
  </si>
  <si>
    <t>Wave 7 stars</t>
  </si>
  <si>
    <t>Wave 8 stars</t>
  </si>
  <si>
    <t>AVERAGE STARS</t>
  </si>
  <si>
    <t>This is the map score the player sees after the final wave score.</t>
  </si>
  <si>
    <t>NEXT MAP UNLOCKED?</t>
  </si>
  <si>
    <t>Gate is 3.0. Gold is kept either way — only progression is gated.</t>
  </si>
  <si>
    <t>LOYALTY TRACK (third track)</t>
  </si>
  <si>
    <t>Quest_Nodes_Harvested</t>
  </si>
  <si>
    <t>Waves 5-8 only. Far edge, opposite the spawn side.</t>
  </si>
  <si>
    <t>Whose loyalty this map's quest earns.</t>
  </si>
  <si>
    <t>Loyalty_Gained</t>
  </si>
  <si>
    <t>Quest resource pays in LOYALTY, never in gold.</t>
  </si>
  <si>
    <t>'none' for the unaligned faction.</t>
  </si>
  <si>
    <t>Loyalty_Lost_With_Rival</t>
  </si>
  <si>
    <t>Courting one faction burns the other. This is the build choice, not a penalty.</t>
  </si>
  <si>
    <t>THREE TRACKS, ONE SCREEN. Stars gate PROGRESSION. Gold gates POWER. Loyalty gates TECH.</t>
  </si>
  <si>
    <t>Quest resource earns NO gold. It costs harvester time that would otherwise buy gold or a time bonus.</t>
  </si>
  <si>
    <t>That is the entire point: loyalty is bought with tempo, premium is bought with blood, primary is free.</t>
  </si>
  <si>
    <t>Sequence on wave 8: wave star score -&gt; final map score -&gt; dialog. The dialog can react to the whole run.</t>
  </si>
  <si>
    <t>WHY HARVESTER SPEND IS HALF-SUBTRACTED: 'collected minus spent' taxes defense. At a full 1.0 rate players</t>
  </si>
  <si>
    <t>underbuild, eat leaks, and lose star 1 anyway. The 0.5 rate says: towers are cost, harvesters are investment.</t>
  </si>
  <si>
    <t>If you want the pure formula you specified, set Harvester_Spend_Rate to 1.00 and watch the underbuild.</t>
  </si>
  <si>
    <t>Resource Roles — 9 maps x 9 factions</t>
  </si>
  <si>
    <t>THREE resource types, THREE roles, every pairing. Primary (economy, low) / Premium (economy, high) / Quest (loyalty). The clash fix makes this mapping total: no pairing is ever missing a role.</t>
  </si>
  <si>
    <t>Map</t>
  </si>
  <si>
    <t>Faction</t>
  </si>
  <si>
    <t>Faction_Premium</t>
  </si>
  <si>
    <t>Premium_Effective</t>
  </si>
  <si>
    <t>Swapped?</t>
  </si>
  <si>
    <t>Quest_Resource</t>
  </si>
  <si>
    <t>Valid?</t>
  </si>
  <si>
    <t>Swapped? = SWAPPED on the 9 pairings (one per map) where the faction's premium collided with the map's primary.</t>
  </si>
  <si>
    <t>Valid? must read 'ok' on all 81 rows. A single BROKEN means two roles landed on the same resource and a wave decision has died.</t>
  </si>
  <si>
    <t>This sheet is the reason Premium_Secondary exists. Without it, 9 of 81 pairings have no quest resource at all.</t>
  </si>
  <si>
    <t>Loyalty Tech Tree — 3 unlocks per faction, 27 total</t>
  </si>
  <si>
    <t>Loyalty with a faction unlocks THAT faction's tech for YOUR use. Rivals mean you cannot have it all.</t>
  </si>
  <si>
    <t>Rival</t>
  </si>
  <si>
    <t>T1 Unit @</t>
  </si>
  <si>
    <t>T2 Structure @</t>
  </si>
  <si>
    <t>T3 Base Upgrade @</t>
  </si>
  <si>
    <t>Total Loyalty To Max</t>
  </si>
  <si>
    <t>One unit, one structure, one base upgrade. Thresholds are cumulative loyalty, not spent.</t>
  </si>
  <si>
    <t>CAMPAIGN LOYALTY BUDGET</t>
  </si>
  <si>
    <t>Total loyalty available (all 9 maps, all quest nodes)</t>
  </si>
  <si>
    <t>One perfect campaign pass, every quest node harvested.</t>
  </si>
  <si>
    <t>Loyalty to max ALL 9 factions</t>
  </si>
  <si>
    <t>Ignoring rival penalties.</t>
  </si>
  <si>
    <t>Can a perfect run max everything?</t>
  </si>
  <si>
    <t>Must read NO. Scarcity is what makes the rival choice mean anything.</t>
  </si>
  <si>
    <t>RIVAL PENALTY: loyalty gained with a faction is lost with its rival at the Rival_Penalty rate (default 0.5).</t>
  </si>
  <si>
    <t>So courting faction 01 actively burns your standing with 02. Four reciprocal pairs; faction 09 is unaligned.</t>
  </si>
  <si>
    <t>CONSEQUENCE: a player can realistically max one side of the rivalry map, never both. That IS the build choice.</t>
  </si>
  <si>
    <t>Faction 09 has no rival, so it is the only faction whose tech is free of opportunity cost. Price it accordingly.</t>
  </si>
  <si>
    <t>Quest_Giver_Faction (Maps sheet) decides WHOSE loyalty a map's quest resource earns — so the campaign order</t>
  </si>
  <si>
    <t>determines which factions the player can even court. Reordering the maps reorders the meta. Handle with care.</t>
  </si>
  <si>
    <t>The Quest Contract — accept, fail, or refuse</t>
  </si>
  <si>
    <t>Offered in the PRE-MATCH dialog, before the map is seen. There is NO neutral option: every map, you either serve a faction or you spite them.</t>
  </si>
  <si>
    <t>Outcome</t>
  </si>
  <si>
    <t>Loyalty: Giver</t>
  </si>
  <si>
    <t>Loyalty: Rival</t>
  </si>
  <si>
    <t>Tempo Cost</t>
  </si>
  <si>
    <t>What it means</t>
  </si>
  <si>
    <t>ACCEPT &amp; FULFIL</t>
  </si>
  <si>
    <t>+ Loyalty_Per_Node x nodes</t>
  </si>
  <si>
    <t>- 50% of the gain</t>
  </si>
  <si>
    <t>HIGH</t>
  </si>
  <si>
    <t>You hauled to the far edge, wave after wave, and paid for it in time bonus.</t>
  </si>
  <si>
    <t>ACCEPT &amp; FAIL</t>
  </si>
  <si>
    <t>partial gain - Broken_Promise_Penalty</t>
  </si>
  <si>
    <t>- 50% of the partial gain</t>
  </si>
  <si>
    <t>MEDIUM</t>
  </si>
  <si>
    <t>You took the contract and came up short. WORSE than never taking it. Overpromising must sting.</t>
  </si>
  <si>
    <t>DECLINE</t>
  </si>
  <si>
    <t>- Decline_Cost</t>
  </si>
  <si>
    <t>+ 50% of Decline_Cost</t>
  </si>
  <si>
    <t>NONE</t>
  </si>
  <si>
    <t>Free. You keep every second of the time bonus. But you have made an enemy and pleased their enemy.</t>
  </si>
  <si>
    <t>WORKED EXAMPLE</t>
  </si>
  <si>
    <t>Which map's contract.</t>
  </si>
  <si>
    <t>Quest_Nodes_On_Map</t>
  </si>
  <si>
    <t>Sum of Wave_Table quest nodes for this map (waves 5-8).</t>
  </si>
  <si>
    <t>Nodes_Harvested</t>
  </si>
  <si>
    <t>Player choice. The only lever they have.</t>
  </si>
  <si>
    <t>Contract_Accepted?</t>
  </si>
  <si>
    <t>YES</t>
  </si>
  <si>
    <t>YES or NO. Declared in the pre-match dialog.</t>
  </si>
  <si>
    <t>Giver_Faction</t>
  </si>
  <si>
    <t>From Maps.</t>
  </si>
  <si>
    <t>'none' = unaligned.</t>
  </si>
  <si>
    <t>Fulfilment_Rate</t>
  </si>
  <si>
    <t>Share of the map's quest nodes harvested.</t>
  </si>
  <si>
    <t>Contract_Status</t>
  </si>
  <si>
    <t>Three states. BROKEN is the one that hurts.</t>
  </si>
  <si>
    <t>RESULT</t>
  </si>
  <si>
    <t>Loyalty_With_Giver</t>
  </si>
  <si>
    <t>Refusing costs a little. Accepting and failing can cost MORE than refusing.</t>
  </si>
  <si>
    <t>Loyalty_With_Rival</t>
  </si>
  <si>
    <t>REFUSING A FACTION PLEASES ITS RIVAL. This is what makes the system zero-sum.</t>
  </si>
  <si>
    <t>WHY THERE IS NO NEUTRAL OPTION:</t>
  </si>
  <si>
    <t xml:space="preserve">  Before this rule, a player targeting faction 01 simply never harvested faction 02's quest. Skipping was FREE —</t>
  </si>
  <si>
    <t xml:space="preserve">  it even improved their time bonus. The rival penalty had no teeth; it just told you which maps to ignore.</t>
  </si>
  <si>
    <t xml:space="preserve">  Now every map forces a declaration. Serve the giver (and burn their rival), or refuse (and feed their rival).</t>
  </si>
  <si>
    <t xml:space="preserve">  You cannot abstain. Loyalty is a stance, not a stockpile.</t>
  </si>
  <si>
    <t>THE TRADE THIS CREATES — and it is the point of the whole system:</t>
  </si>
  <si>
    <t xml:space="preserve">  DEPTH build: declines often -&gt; keeps the time bonus -&gt; MORE GOLD, fewer unlocks, 2 base upgrades.</t>
  </si>
  <si>
    <t xml:space="preserve">  BREADTH build: accepts often -&gt; hauls to the far edge -&gt; LESS GOLD, more unlocks, no base upgrades.</t>
  </si>
  <si>
    <t xml:space="preserve">  Gold and loyalty now push against each other. Before this, they ran on parallel rails and never met.</t>
  </si>
  <si>
    <t>BALANCE CONSTRAINT: Broken_Promise_Penalty (45) MUST exceed Decline_Cost (30).</t>
  </si>
  <si>
    <t xml:space="preserve">  If it does not, a player accepts every contract and deliberately fails the cheap ones. Overpromising must</t>
  </si>
  <si>
    <t xml:space="preserve">  cost more than an honest refusal, or the contract means nothing.</t>
  </si>
  <si>
    <t>OPEN: declining still refunds the tempo, so a decline-heavy run gets gold AND slow rival loyalty. Watch that</t>
  </si>
  <si>
    <t xml:space="preserve">  Decline_Rival_Gain (0.5 x 30 = 15) stays SMALL against a fulfilled contract (~240 on a big map), or a player</t>
  </si>
  <si>
    <t xml:space="preserve">  can build a tech tree purely by being unpleasant to everyone. That would be funny once, then broken.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</si>
</sst>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"/>
    <numFmt numFmtId="166" formatCode="#,##0;&quot;($&quot;#,##0\);\-"/>
    <numFmt numFmtId="167" formatCode="#,##0;\(#,##0\);\-"/>
  </numFmts>
  <fonts count="9">
    <font>
      <sz val="11.0"/>
      <color theme="1"/>
      <name val="Calibri"/>
      <scheme val="minor"/>
    </font>
    <font>
      <b/>
      <sz val="12.0"/>
      <color theme="1"/>
      <name val="Arial"/>
    </font>
    <font>
      <i/>
      <sz val="9.0"/>
      <color rgb="FF666666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1.0"/>
      <color theme="1"/>
      <name val="Calibri"/>
    </font>
    <font>
      <sz val="10.0"/>
      <color rgb="FF0000FF"/>
      <name val="Arial"/>
    </font>
    <font>
      <sz val="10.0"/>
      <color rgb="FF008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B57"/>
        <bgColor rgb="FF1F3B57"/>
      </patternFill>
    </fill>
    <fill>
      <patternFill patternType="solid">
        <fgColor rgb="FFEEF3F8"/>
        <bgColor rgb="FFEEF3F8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4" fontId="7" numFmtId="0" xfId="0" applyAlignment="1" applyBorder="1" applyFill="1" applyFont="1">
      <alignment shrinkToFit="0" vertical="bottom" wrapText="0"/>
    </xf>
    <xf borderId="2" fillId="4" fontId="7" numFmtId="2" xfId="0" applyAlignment="1" applyBorder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2" fillId="4" fontId="7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2" xfId="0" applyAlignment="1" applyFont="1" applyNumberForma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  <xf borderId="2" fillId="4" fontId="7" numFmtId="3" xfId="0" applyAlignment="1" applyBorder="1" applyFont="1" applyNumberForma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8" numFmtId="2" xfId="0" applyAlignment="1" applyFont="1" applyNumberForma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3" fontId="8" numFmtId="0" xfId="0" applyAlignment="1" applyBorder="1" applyFont="1">
      <alignment shrinkToFit="0" vertical="bottom" wrapText="0"/>
    </xf>
    <xf borderId="2" fillId="3" fontId="7" numFmtId="0" xfId="0" applyAlignment="1" applyBorder="1" applyFont="1">
      <alignment shrinkToFit="0" vertical="bottom" wrapText="0"/>
    </xf>
    <xf borderId="2" fillId="3" fontId="8" numFmtId="2" xfId="0" applyAlignment="1" applyBorder="1" applyFont="1" applyNumberForma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0" fontId="7" numFmtId="3" xfId="0" applyAlignment="1" applyBorder="1" applyFont="1" applyNumberFormat="1">
      <alignment shrinkToFit="0" vertical="bottom" wrapText="0"/>
    </xf>
    <xf borderId="1" fillId="4" fontId="7" numFmtId="2" xfId="0" applyAlignment="1" applyBorder="1" applyFont="1" applyNumberFormat="1">
      <alignment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1" fillId="4" fontId="4" numFmtId="3" xfId="0" applyAlignment="1" applyBorder="1" applyFont="1" applyNumberFormat="1">
      <alignment shrinkToFit="0" vertical="bottom" wrapText="0"/>
    </xf>
    <xf borderId="1" fillId="0" fontId="4" numFmtId="2" xfId="0" applyAlignment="1" applyBorder="1" applyFont="1" applyNumberFormat="1">
      <alignment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8" numFmtId="164" xfId="0" applyAlignment="1" applyBorder="1" applyFont="1" applyNumberFormat="1">
      <alignment shrinkToFit="0" vertical="bottom" wrapText="0"/>
    </xf>
    <xf borderId="1" fillId="4" fontId="3" numFmtId="167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95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/>
      <c r="B4" s="3"/>
    </row>
    <row r="5">
      <c r="A5" s="4" t="s">
        <v>2</v>
      </c>
      <c r="B5" s="3"/>
    </row>
    <row r="6">
      <c r="A6" s="3" t="s">
        <v>3</v>
      </c>
      <c r="B6" s="3" t="s">
        <v>4</v>
      </c>
    </row>
    <row r="7">
      <c r="A7" s="3" t="s">
        <v>5</v>
      </c>
      <c r="B7" s="3" t="s">
        <v>6</v>
      </c>
    </row>
    <row r="8">
      <c r="A8" s="3" t="s">
        <v>7</v>
      </c>
      <c r="B8" s="3" t="s">
        <v>8</v>
      </c>
    </row>
    <row r="9">
      <c r="A9" s="3" t="s">
        <v>9</v>
      </c>
      <c r="B9" s="3" t="s">
        <v>10</v>
      </c>
    </row>
    <row r="10">
      <c r="A10" s="3"/>
      <c r="B10" s="3"/>
    </row>
    <row r="11">
      <c r="A11" s="4" t="s">
        <v>11</v>
      </c>
      <c r="B11" s="3"/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 t="s">
        <v>16</v>
      </c>
      <c r="B14" s="3" t="s">
        <v>17</v>
      </c>
    </row>
    <row r="15">
      <c r="A15" s="3" t="s">
        <v>18</v>
      </c>
      <c r="B15" s="3" t="s">
        <v>19</v>
      </c>
    </row>
    <row r="16">
      <c r="A16" s="3" t="s">
        <v>20</v>
      </c>
      <c r="B16" s="3" t="s">
        <v>21</v>
      </c>
    </row>
    <row r="17">
      <c r="A17" s="3" t="s">
        <v>22</v>
      </c>
      <c r="B17" s="3" t="s">
        <v>23</v>
      </c>
    </row>
    <row r="18">
      <c r="A18" s="3" t="s">
        <v>24</v>
      </c>
      <c r="B18" s="3" t="s">
        <v>25</v>
      </c>
    </row>
    <row r="19">
      <c r="A19" s="3"/>
      <c r="B19" s="3"/>
    </row>
    <row r="20">
      <c r="A20" s="4" t="s">
        <v>26</v>
      </c>
      <c r="B20" s="3"/>
    </row>
    <row r="21" ht="15.75" customHeight="1">
      <c r="A21" s="3" t="s">
        <v>27</v>
      </c>
      <c r="B21" s="3" t="s">
        <v>28</v>
      </c>
    </row>
    <row r="22" ht="15.75" customHeight="1">
      <c r="A22" s="3" t="s">
        <v>29</v>
      </c>
      <c r="B22" s="3" t="s">
        <v>30</v>
      </c>
    </row>
    <row r="23" ht="15.75" customHeight="1">
      <c r="A23" s="3"/>
      <c r="B23" s="3"/>
    </row>
    <row r="24" ht="15.75" customHeight="1">
      <c r="A24" s="4" t="s">
        <v>31</v>
      </c>
      <c r="B24" s="3"/>
    </row>
    <row r="25" ht="15.75" customHeight="1">
      <c r="A25" s="3" t="s">
        <v>32</v>
      </c>
      <c r="B25" s="3" t="s">
        <v>33</v>
      </c>
    </row>
    <row r="26" ht="15.75" customHeight="1">
      <c r="A26" s="3" t="s">
        <v>34</v>
      </c>
      <c r="B26" s="3" t="s">
        <v>35</v>
      </c>
    </row>
    <row r="27" ht="15.75" customHeight="1">
      <c r="A27" s="3" t="s">
        <v>36</v>
      </c>
      <c r="B27" s="3" t="s">
        <v>37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12.0"/>
    <col customWidth="1" min="3" max="3" width="14.0"/>
    <col customWidth="1" min="4" max="4" width="62.0"/>
    <col customWidth="1" min="5" max="26" width="8.71"/>
  </cols>
  <sheetData>
    <row r="1">
      <c r="A1" s="1" t="s">
        <v>38</v>
      </c>
    </row>
    <row r="2">
      <c r="A2" s="2" t="s">
        <v>39</v>
      </c>
    </row>
    <row r="4">
      <c r="A4" s="5" t="s">
        <v>40</v>
      </c>
      <c r="B4" s="5" t="s">
        <v>41</v>
      </c>
      <c r="C4" s="5" t="s">
        <v>42</v>
      </c>
      <c r="D4" s="5" t="s">
        <v>43</v>
      </c>
    </row>
    <row r="5">
      <c r="A5" s="6" t="s">
        <v>44</v>
      </c>
      <c r="B5" s="7"/>
      <c r="C5" s="7"/>
      <c r="D5" s="7"/>
    </row>
    <row r="6">
      <c r="A6" s="3" t="s">
        <v>45</v>
      </c>
      <c r="B6" s="8">
        <v>9.0</v>
      </c>
      <c r="C6" s="3" t="s">
        <v>46</v>
      </c>
      <c r="D6" s="2" t="s">
        <v>47</v>
      </c>
    </row>
    <row r="7">
      <c r="A7" s="3" t="s">
        <v>48</v>
      </c>
      <c r="B7" s="8">
        <v>8.0</v>
      </c>
      <c r="C7" s="3" t="s">
        <v>46</v>
      </c>
      <c r="D7" s="2" t="s">
        <v>49</v>
      </c>
    </row>
    <row r="8">
      <c r="A8" s="3" t="s">
        <v>50</v>
      </c>
      <c r="B8" s="8">
        <v>3.0</v>
      </c>
      <c r="C8" s="3" t="s">
        <v>51</v>
      </c>
      <c r="D8" s="2" t="s">
        <v>52</v>
      </c>
    </row>
    <row r="9">
      <c r="A9" s="3" t="s">
        <v>53</v>
      </c>
      <c r="B9" s="8">
        <v>5.0</v>
      </c>
      <c r="C9" s="3" t="s">
        <v>51</v>
      </c>
      <c r="D9" s="2" t="s">
        <v>54</v>
      </c>
    </row>
    <row r="10">
      <c r="A10" s="6" t="s">
        <v>55</v>
      </c>
      <c r="B10" s="7"/>
      <c r="C10" s="7"/>
      <c r="D10" s="7"/>
    </row>
    <row r="11">
      <c r="A11" s="3" t="s">
        <v>56</v>
      </c>
      <c r="B11" s="8">
        <v>24.0</v>
      </c>
      <c r="C11" s="3" t="s">
        <v>57</v>
      </c>
      <c r="D11" s="2" t="s">
        <v>58</v>
      </c>
    </row>
    <row r="12">
      <c r="A12" s="3" t="s">
        <v>59</v>
      </c>
      <c r="B12" s="8">
        <v>16.0</v>
      </c>
      <c r="C12" s="3" t="s">
        <v>57</v>
      </c>
      <c r="D12" s="2" t="s">
        <v>58</v>
      </c>
    </row>
    <row r="13">
      <c r="A13" s="3" t="s">
        <v>60</v>
      </c>
      <c r="B13" s="8">
        <v>64.0</v>
      </c>
      <c r="C13" s="3" t="s">
        <v>57</v>
      </c>
      <c r="D13" s="2" t="s">
        <v>61</v>
      </c>
    </row>
    <row r="14">
      <c r="A14" s="3" t="s">
        <v>62</v>
      </c>
      <c r="B14" s="8">
        <v>32.0</v>
      </c>
      <c r="C14" s="3" t="s">
        <v>57</v>
      </c>
      <c r="D14" s="2" t="s">
        <v>61</v>
      </c>
    </row>
    <row r="15">
      <c r="A15" s="6" t="s">
        <v>63</v>
      </c>
      <c r="B15" s="7"/>
      <c r="C15" s="7"/>
      <c r="D15" s="7"/>
    </row>
    <row r="16">
      <c r="A16" s="3" t="s">
        <v>64</v>
      </c>
      <c r="B16" s="9">
        <v>2.0</v>
      </c>
      <c r="C16" s="3" t="s">
        <v>57</v>
      </c>
      <c r="D16" s="2" t="s">
        <v>65</v>
      </c>
    </row>
    <row r="17">
      <c r="A17" s="3" t="s">
        <v>66</v>
      </c>
      <c r="B17" s="9">
        <v>100.0</v>
      </c>
      <c r="C17" s="3" t="s">
        <v>67</v>
      </c>
      <c r="D17" s="2" t="s">
        <v>68</v>
      </c>
    </row>
    <row r="18">
      <c r="A18" s="3" t="s">
        <v>69</v>
      </c>
      <c r="B18" s="9">
        <v>0.18</v>
      </c>
      <c r="C18" s="3" t="s">
        <v>70</v>
      </c>
      <c r="D18" s="2" t="s">
        <v>71</v>
      </c>
    </row>
    <row r="19">
      <c r="A19" s="3" t="s">
        <v>72</v>
      </c>
      <c r="B19" s="8">
        <v>0.1</v>
      </c>
      <c r="C19" s="3" t="s">
        <v>73</v>
      </c>
      <c r="D19" s="2" t="s">
        <v>74</v>
      </c>
    </row>
    <row r="20">
      <c r="A20" s="3" t="s">
        <v>75</v>
      </c>
      <c r="B20" s="8">
        <v>0.3</v>
      </c>
      <c r="C20" s="3" t="s">
        <v>73</v>
      </c>
      <c r="D20" s="2" t="s">
        <v>76</v>
      </c>
    </row>
    <row r="21" ht="15.75" customHeight="1">
      <c r="A21" s="3" t="s">
        <v>77</v>
      </c>
      <c r="B21" s="8">
        <v>0.15</v>
      </c>
      <c r="C21" s="3" t="s">
        <v>73</v>
      </c>
      <c r="D21" s="2" t="s">
        <v>78</v>
      </c>
    </row>
    <row r="22" ht="15.75" customHeight="1">
      <c r="A22" s="6" t="s">
        <v>79</v>
      </c>
      <c r="B22" s="7"/>
      <c r="C22" s="7"/>
      <c r="D22" s="7"/>
    </row>
    <row r="23" ht="15.75" customHeight="1">
      <c r="A23" s="3" t="s">
        <v>80</v>
      </c>
      <c r="B23" s="8">
        <v>1.0</v>
      </c>
      <c r="C23" s="3" t="s">
        <v>81</v>
      </c>
      <c r="D23" s="2" t="s">
        <v>82</v>
      </c>
    </row>
    <row r="24" ht="15.75" customHeight="1">
      <c r="A24" s="3" t="s">
        <v>83</v>
      </c>
      <c r="B24" s="9">
        <v>400.0</v>
      </c>
      <c r="C24" s="3" t="s">
        <v>84</v>
      </c>
      <c r="D24" s="2" t="s">
        <v>85</v>
      </c>
    </row>
    <row r="25" ht="15.75" customHeight="1">
      <c r="A25" s="3" t="s">
        <v>86</v>
      </c>
      <c r="B25" s="9">
        <v>42.0</v>
      </c>
      <c r="C25" s="3" t="s">
        <v>87</v>
      </c>
      <c r="D25" s="2" t="s">
        <v>88</v>
      </c>
    </row>
    <row r="26" ht="15.75" customHeight="1">
      <c r="A26" s="3" t="s">
        <v>89</v>
      </c>
      <c r="B26" s="9">
        <v>3.0</v>
      </c>
      <c r="C26" s="3" t="s">
        <v>90</v>
      </c>
      <c r="D26" s="2" t="s">
        <v>91</v>
      </c>
    </row>
    <row r="27" ht="15.75" customHeight="1">
      <c r="A27" s="3" t="s">
        <v>92</v>
      </c>
      <c r="B27" s="9">
        <v>75.0</v>
      </c>
      <c r="C27" s="3" t="s">
        <v>87</v>
      </c>
      <c r="D27" s="2" t="s">
        <v>93</v>
      </c>
    </row>
    <row r="28" ht="15.75" customHeight="1">
      <c r="A28" s="3" t="s">
        <v>94</v>
      </c>
      <c r="B28" s="9">
        <v>0.25</v>
      </c>
      <c r="C28" s="3" t="s">
        <v>73</v>
      </c>
      <c r="D28" s="2" t="s">
        <v>95</v>
      </c>
    </row>
    <row r="29" ht="15.75" customHeight="1">
      <c r="A29" s="6" t="s">
        <v>96</v>
      </c>
      <c r="B29" s="7"/>
      <c r="C29" s="7"/>
      <c r="D29" s="7"/>
    </row>
    <row r="30" ht="15.75" customHeight="1">
      <c r="A30" s="3" t="s">
        <v>97</v>
      </c>
      <c r="B30" s="8">
        <v>5.0</v>
      </c>
      <c r="C30" s="3" t="s">
        <v>98</v>
      </c>
      <c r="D30" s="2" t="s">
        <v>99</v>
      </c>
    </row>
    <row r="31" ht="15.75" customHeight="1">
      <c r="A31" s="3" t="s">
        <v>100</v>
      </c>
      <c r="B31" s="9">
        <v>0.8</v>
      </c>
      <c r="C31" s="3" t="s">
        <v>73</v>
      </c>
      <c r="D31" s="2" t="s">
        <v>101</v>
      </c>
    </row>
    <row r="32" ht="15.75" customHeight="1">
      <c r="A32" s="3" t="s">
        <v>102</v>
      </c>
      <c r="B32" s="9">
        <v>4.0</v>
      </c>
      <c r="C32" s="3" t="s">
        <v>57</v>
      </c>
      <c r="D32" s="2" t="s">
        <v>103</v>
      </c>
    </row>
    <row r="33" ht="15.75" customHeight="1">
      <c r="A33" s="3" t="s">
        <v>104</v>
      </c>
      <c r="B33" s="9">
        <v>10.0</v>
      </c>
      <c r="C33" s="3" t="s">
        <v>67</v>
      </c>
      <c r="D33" s="2" t="s">
        <v>105</v>
      </c>
    </row>
    <row r="34" ht="15.75" customHeight="1">
      <c r="A34" s="3" t="s">
        <v>106</v>
      </c>
      <c r="B34" s="9">
        <v>0.5</v>
      </c>
      <c r="C34" s="3" t="s">
        <v>73</v>
      </c>
      <c r="D34" s="2" t="s">
        <v>107</v>
      </c>
    </row>
    <row r="35" ht="15.75" customHeight="1">
      <c r="A35" s="3" t="s">
        <v>108</v>
      </c>
      <c r="B35" s="9">
        <v>100.0</v>
      </c>
      <c r="C35" s="3" t="s">
        <v>109</v>
      </c>
      <c r="D35" s="2" t="s">
        <v>110</v>
      </c>
    </row>
    <row r="36" ht="15.75" customHeight="1">
      <c r="A36" s="3" t="s">
        <v>111</v>
      </c>
      <c r="B36" s="9">
        <v>260.0</v>
      </c>
      <c r="C36" s="3" t="s">
        <v>109</v>
      </c>
      <c r="D36" s="2" t="s">
        <v>112</v>
      </c>
    </row>
    <row r="37" ht="15.75" customHeight="1">
      <c r="A37" s="3" t="s">
        <v>113</v>
      </c>
      <c r="B37" s="9">
        <v>520.0</v>
      </c>
      <c r="C37" s="3" t="s">
        <v>109</v>
      </c>
      <c r="D37" s="2" t="s">
        <v>114</v>
      </c>
    </row>
    <row r="38" ht="15.75" customHeight="1">
      <c r="A38" s="6" t="s">
        <v>115</v>
      </c>
      <c r="B38" s="7"/>
      <c r="C38" s="7"/>
      <c r="D38" s="7"/>
    </row>
    <row r="39" ht="15.75" customHeight="1">
      <c r="A39" s="3" t="s">
        <v>116</v>
      </c>
      <c r="B39" s="9">
        <v>30.0</v>
      </c>
      <c r="C39" s="3" t="s">
        <v>109</v>
      </c>
      <c r="D39" s="2" t="s">
        <v>117</v>
      </c>
    </row>
    <row r="40" ht="15.75" customHeight="1">
      <c r="A40" s="3" t="s">
        <v>118</v>
      </c>
      <c r="B40" s="9">
        <v>0.5</v>
      </c>
      <c r="C40" s="3" t="s">
        <v>73</v>
      </c>
      <c r="D40" s="2" t="s">
        <v>119</v>
      </c>
    </row>
    <row r="41" ht="15.75" customHeight="1">
      <c r="A41" s="3" t="s">
        <v>120</v>
      </c>
      <c r="B41" s="9">
        <v>0.6</v>
      </c>
      <c r="C41" s="3" t="s">
        <v>73</v>
      </c>
      <c r="D41" s="2" t="s">
        <v>121</v>
      </c>
    </row>
    <row r="42" ht="15.75" customHeight="1">
      <c r="A42" s="3" t="s">
        <v>122</v>
      </c>
      <c r="B42" s="9">
        <v>45.0</v>
      </c>
      <c r="C42" s="3" t="s">
        <v>109</v>
      </c>
      <c r="D42" s="2" t="s">
        <v>123</v>
      </c>
    </row>
    <row r="43" ht="15.75" customHeight="1"/>
    <row r="44" ht="15.75" customHeight="1"/>
    <row r="45" ht="15.75" customHeight="1"/>
    <row r="46" ht="15.75" customHeight="1">
      <c r="A46" s="2" t="s">
        <v>124</v>
      </c>
    </row>
    <row r="47" ht="15.75" customHeight="1">
      <c r="A47" s="2" t="s">
        <v>125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15.0"/>
    <col customWidth="1" min="4" max="4" width="18.0"/>
    <col customWidth="1" min="5" max="5" width="60.0"/>
    <col customWidth="1" min="6" max="26" width="8.71"/>
  </cols>
  <sheetData>
    <row r="1">
      <c r="A1" s="1" t="s">
        <v>126</v>
      </c>
    </row>
    <row r="2">
      <c r="A2" s="2" t="s">
        <v>127</v>
      </c>
    </row>
    <row r="4">
      <c r="A4" s="5" t="s">
        <v>128</v>
      </c>
      <c r="B4" s="5" t="s">
        <v>129</v>
      </c>
      <c r="C4" s="5" t="s">
        <v>130</v>
      </c>
      <c r="D4" s="5" t="s">
        <v>131</v>
      </c>
      <c r="E4" s="5" t="s">
        <v>132</v>
      </c>
    </row>
    <row r="5">
      <c r="A5" s="3">
        <v>1.0</v>
      </c>
      <c r="B5" s="10">
        <v>0.4</v>
      </c>
      <c r="C5" s="11">
        <f t="shared" ref="C5:C12" si="1">B5^2</f>
        <v>0.16</v>
      </c>
      <c r="D5" s="11">
        <f>C5</f>
        <v>0.16</v>
      </c>
      <c r="E5" s="2" t="s">
        <v>133</v>
      </c>
    </row>
    <row r="6">
      <c r="A6" s="3">
        <v>2.0</v>
      </c>
      <c r="B6" s="10">
        <v>0.46</v>
      </c>
      <c r="C6" s="11">
        <f t="shared" si="1"/>
        <v>0.2116</v>
      </c>
      <c r="D6" s="11">
        <f t="shared" ref="D6:D12" si="2">C6-C5</f>
        <v>0.0516</v>
      </c>
      <c r="E6" s="2" t="s">
        <v>134</v>
      </c>
    </row>
    <row r="7">
      <c r="A7" s="3">
        <v>3.0</v>
      </c>
      <c r="B7" s="10">
        <v>0.54</v>
      </c>
      <c r="C7" s="11">
        <f t="shared" si="1"/>
        <v>0.2916</v>
      </c>
      <c r="D7" s="11">
        <f t="shared" si="2"/>
        <v>0.08</v>
      </c>
      <c r="E7" s="2" t="s">
        <v>135</v>
      </c>
    </row>
    <row r="8">
      <c r="A8" s="3">
        <v>4.0</v>
      </c>
      <c r="B8" s="10">
        <v>0.66</v>
      </c>
      <c r="C8" s="11">
        <f t="shared" si="1"/>
        <v>0.4356</v>
      </c>
      <c r="D8" s="11">
        <f t="shared" si="2"/>
        <v>0.144</v>
      </c>
      <c r="E8" s="2" t="s">
        <v>136</v>
      </c>
    </row>
    <row r="9">
      <c r="A9" s="3">
        <v>5.0</v>
      </c>
      <c r="B9" s="10">
        <v>0.79</v>
      </c>
      <c r="C9" s="11">
        <f t="shared" si="1"/>
        <v>0.6241</v>
      </c>
      <c r="D9" s="11">
        <f t="shared" si="2"/>
        <v>0.1885</v>
      </c>
      <c r="E9" s="2" t="s">
        <v>137</v>
      </c>
    </row>
    <row r="10">
      <c r="A10" s="3">
        <v>6.0</v>
      </c>
      <c r="B10" s="10">
        <v>0.89</v>
      </c>
      <c r="C10" s="11">
        <f t="shared" si="1"/>
        <v>0.7921</v>
      </c>
      <c r="D10" s="11">
        <f t="shared" si="2"/>
        <v>0.168</v>
      </c>
      <c r="E10" s="2" t="s">
        <v>138</v>
      </c>
    </row>
    <row r="11">
      <c r="A11" s="3">
        <v>7.0</v>
      </c>
      <c r="B11" s="10">
        <v>0.96</v>
      </c>
      <c r="C11" s="11">
        <f t="shared" si="1"/>
        <v>0.9216</v>
      </c>
      <c r="D11" s="11">
        <f t="shared" si="2"/>
        <v>0.1295</v>
      </c>
      <c r="E11" s="2" t="s">
        <v>139</v>
      </c>
    </row>
    <row r="12">
      <c r="A12" s="3">
        <v>8.0</v>
      </c>
      <c r="B12" s="10">
        <v>1.0</v>
      </c>
      <c r="C12" s="11">
        <f t="shared" si="1"/>
        <v>1</v>
      </c>
      <c r="D12" s="11">
        <f t="shared" si="2"/>
        <v>0.0784</v>
      </c>
      <c r="E12" s="2" t="s">
        <v>140</v>
      </c>
    </row>
    <row r="14">
      <c r="A14" s="2" t="s">
        <v>141</v>
      </c>
    </row>
    <row r="15">
      <c r="A15" s="2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4" width="9.0"/>
    <col customWidth="1" min="5" max="5" width="11.0"/>
    <col customWidth="1" min="6" max="6" width="17.0"/>
    <col customWidth="1" min="7" max="7" width="10.0"/>
    <col customWidth="1" min="8" max="8" width="11.0"/>
    <col customWidth="1" min="9" max="9" width="13.0"/>
    <col customWidth="1" min="10" max="10" width="18.0"/>
    <col customWidth="1" min="11" max="11" width="44.0"/>
    <col customWidth="1" min="12" max="26" width="8.71"/>
  </cols>
  <sheetData>
    <row r="1">
      <c r="A1" s="1" t="s">
        <v>143</v>
      </c>
    </row>
    <row r="2">
      <c r="A2" s="2" t="s">
        <v>144</v>
      </c>
    </row>
    <row r="4">
      <c r="A4" s="5" t="s">
        <v>145</v>
      </c>
      <c r="B4" s="5" t="s">
        <v>146</v>
      </c>
      <c r="C4" s="5" t="s">
        <v>147</v>
      </c>
      <c r="D4" s="5" t="s">
        <v>148</v>
      </c>
      <c r="E4" s="5" t="s">
        <v>149</v>
      </c>
      <c r="F4" s="5" t="s">
        <v>150</v>
      </c>
      <c r="G4" s="5" t="s">
        <v>151</v>
      </c>
      <c r="H4" s="5" t="s">
        <v>152</v>
      </c>
      <c r="I4" s="5" t="s">
        <v>153</v>
      </c>
      <c r="J4" s="5" t="s">
        <v>154</v>
      </c>
      <c r="K4" s="5" t="s">
        <v>43</v>
      </c>
    </row>
    <row r="5">
      <c r="A5" s="3">
        <v>1.0</v>
      </c>
      <c r="B5" s="12" t="s">
        <v>155</v>
      </c>
      <c r="C5" s="13">
        <f>ROUND((Global_Params!$B$11+(Global_Params!$B$13-Global_Params!$B$11)*(A5-1)/(Global_Params!$B$6-1))/2,0)*2</f>
        <v>24</v>
      </c>
      <c r="D5" s="13">
        <f>ROUND((Global_Params!$B$12+(Global_Params!$B$14-Global_Params!$B$12)*(A5-1)/(Global_Params!$B$6-1))/2,0)*2</f>
        <v>16</v>
      </c>
      <c r="E5" s="3">
        <f t="shared" ref="E5:E13" si="1">C5*D5</f>
        <v>384</v>
      </c>
      <c r="F5" s="14" t="s">
        <v>156</v>
      </c>
      <c r="G5" s="14" t="s">
        <v>157</v>
      </c>
      <c r="H5" s="10">
        <v>1.0</v>
      </c>
      <c r="I5" s="3">
        <f>ROUND(E5/100*Global_Params!$B$25*8,0)</f>
        <v>1290</v>
      </c>
      <c r="J5" s="12">
        <v>3.0</v>
      </c>
      <c r="K5" s="2" t="s">
        <v>158</v>
      </c>
    </row>
    <row r="6">
      <c r="A6" s="3">
        <v>2.0</v>
      </c>
      <c r="B6" s="12" t="s">
        <v>159</v>
      </c>
      <c r="C6" s="13">
        <f>ROUND((Global_Params!$B$11+(Global_Params!$B$13-Global_Params!$B$11)*(A6-1)/(Global_Params!$B$6-1))/2,0)*2</f>
        <v>30</v>
      </c>
      <c r="D6" s="13">
        <f>ROUND((Global_Params!$B$12+(Global_Params!$B$14-Global_Params!$B$12)*(A6-1)/(Global_Params!$B$6-1))/2,0)*2</f>
        <v>18</v>
      </c>
      <c r="E6" s="3">
        <f t="shared" si="1"/>
        <v>540</v>
      </c>
      <c r="F6" s="14" t="s">
        <v>156</v>
      </c>
      <c r="G6" s="14" t="s">
        <v>157</v>
      </c>
      <c r="H6" s="10">
        <v>1.1</v>
      </c>
      <c r="I6" s="3">
        <f>ROUND(E6/100*Global_Params!$B$25*8,0)</f>
        <v>1814</v>
      </c>
      <c r="J6" s="12">
        <v>7.0</v>
      </c>
      <c r="K6" s="2" t="s">
        <v>160</v>
      </c>
    </row>
    <row r="7">
      <c r="A7" s="3">
        <v>3.0</v>
      </c>
      <c r="B7" s="12" t="s">
        <v>161</v>
      </c>
      <c r="C7" s="13">
        <f>ROUND((Global_Params!$B$11+(Global_Params!$B$13-Global_Params!$B$11)*(A7-1)/(Global_Params!$B$6-1))/2,0)*2</f>
        <v>34</v>
      </c>
      <c r="D7" s="13">
        <f>ROUND((Global_Params!$B$12+(Global_Params!$B$14-Global_Params!$B$12)*(A7-1)/(Global_Params!$B$6-1))/2,0)*2</f>
        <v>20</v>
      </c>
      <c r="E7" s="3">
        <f t="shared" si="1"/>
        <v>680</v>
      </c>
      <c r="F7" s="14" t="s">
        <v>162</v>
      </c>
      <c r="G7" s="14" t="s">
        <v>163</v>
      </c>
      <c r="H7" s="10">
        <v>1.2</v>
      </c>
      <c r="I7" s="3">
        <f>ROUND(E7/100*Global_Params!$B$25*8,0)</f>
        <v>2285</v>
      </c>
      <c r="J7" s="12">
        <v>1.0</v>
      </c>
      <c r="K7" s="2" t="s">
        <v>164</v>
      </c>
    </row>
    <row r="8">
      <c r="A8" s="3">
        <v>4.0</v>
      </c>
      <c r="B8" s="12" t="s">
        <v>165</v>
      </c>
      <c r="C8" s="13">
        <f>ROUND((Global_Params!$B$11+(Global_Params!$B$13-Global_Params!$B$11)*(A8-1)/(Global_Params!$B$6-1))/2,0)*2</f>
        <v>40</v>
      </c>
      <c r="D8" s="13">
        <f>ROUND((Global_Params!$B$12+(Global_Params!$B$14-Global_Params!$B$12)*(A8-1)/(Global_Params!$B$6-1))/2,0)*2</f>
        <v>22</v>
      </c>
      <c r="E8" s="3">
        <f t="shared" si="1"/>
        <v>880</v>
      </c>
      <c r="F8" s="14" t="s">
        <v>162</v>
      </c>
      <c r="G8" s="14" t="s">
        <v>157</v>
      </c>
      <c r="H8" s="10">
        <v>1.3</v>
      </c>
      <c r="I8" s="3">
        <f>ROUND(E8/100*Global_Params!$B$25*8,0)</f>
        <v>2957</v>
      </c>
      <c r="J8" s="12">
        <v>5.0</v>
      </c>
      <c r="K8" s="2" t="s">
        <v>166</v>
      </c>
    </row>
    <row r="9">
      <c r="A9" s="3">
        <v>5.0</v>
      </c>
      <c r="B9" s="12" t="s">
        <v>167</v>
      </c>
      <c r="C9" s="13">
        <f>ROUND((Global_Params!$B$11+(Global_Params!$B$13-Global_Params!$B$11)*(A9-1)/(Global_Params!$B$6-1))/2,0)*2</f>
        <v>44</v>
      </c>
      <c r="D9" s="13">
        <f>ROUND((Global_Params!$B$12+(Global_Params!$B$14-Global_Params!$B$12)*(A9-1)/(Global_Params!$B$6-1))/2,0)*2</f>
        <v>24</v>
      </c>
      <c r="E9" s="3">
        <f t="shared" si="1"/>
        <v>1056</v>
      </c>
      <c r="F9" s="14" t="s">
        <v>168</v>
      </c>
      <c r="G9" s="14" t="s">
        <v>163</v>
      </c>
      <c r="H9" s="10">
        <v>1.4</v>
      </c>
      <c r="I9" s="3">
        <f>ROUND(E9/100*Global_Params!$B$25*8,0)</f>
        <v>3548</v>
      </c>
      <c r="J9" s="12">
        <v>9.0</v>
      </c>
      <c r="K9" s="2" t="s">
        <v>169</v>
      </c>
    </row>
    <row r="10">
      <c r="A10" s="3">
        <v>6.0</v>
      </c>
      <c r="B10" s="12" t="s">
        <v>170</v>
      </c>
      <c r="C10" s="13">
        <f>ROUND((Global_Params!$B$11+(Global_Params!$B$13-Global_Params!$B$11)*(A10-1)/(Global_Params!$B$6-1))/2,0)*2</f>
        <v>50</v>
      </c>
      <c r="D10" s="13">
        <f>ROUND((Global_Params!$B$12+(Global_Params!$B$14-Global_Params!$B$12)*(A10-1)/(Global_Params!$B$6-1))/2,0)*2</f>
        <v>26</v>
      </c>
      <c r="E10" s="3">
        <f t="shared" si="1"/>
        <v>1300</v>
      </c>
      <c r="F10" s="14" t="s">
        <v>156</v>
      </c>
      <c r="G10" s="14" t="s">
        <v>163</v>
      </c>
      <c r="H10" s="10">
        <v>1.5</v>
      </c>
      <c r="I10" s="3">
        <f>ROUND(E10/100*Global_Params!$B$25*8,0)</f>
        <v>4368</v>
      </c>
      <c r="J10" s="12">
        <v>2.0</v>
      </c>
      <c r="K10" s="2" t="s">
        <v>171</v>
      </c>
    </row>
    <row r="11">
      <c r="A11" s="3">
        <v>7.0</v>
      </c>
      <c r="B11" s="12" t="s">
        <v>172</v>
      </c>
      <c r="C11" s="13">
        <f>ROUND((Global_Params!$B$11+(Global_Params!$B$13-Global_Params!$B$11)*(A11-1)/(Global_Params!$B$6-1))/2,0)*2</f>
        <v>54</v>
      </c>
      <c r="D11" s="13">
        <f>ROUND((Global_Params!$B$12+(Global_Params!$B$14-Global_Params!$B$12)*(A11-1)/(Global_Params!$B$6-1))/2,0)*2</f>
        <v>28</v>
      </c>
      <c r="E11" s="3">
        <f t="shared" si="1"/>
        <v>1512</v>
      </c>
      <c r="F11" s="14" t="s">
        <v>162</v>
      </c>
      <c r="G11" s="14" t="s">
        <v>157</v>
      </c>
      <c r="H11" s="10">
        <v>1.6</v>
      </c>
      <c r="I11" s="3">
        <f>ROUND(E11/100*Global_Params!$B$25*8,0)</f>
        <v>5080</v>
      </c>
      <c r="J11" s="12">
        <v>8.0</v>
      </c>
      <c r="K11" s="2" t="s">
        <v>173</v>
      </c>
    </row>
    <row r="12">
      <c r="A12" s="3">
        <v>8.0</v>
      </c>
      <c r="B12" s="12" t="s">
        <v>174</v>
      </c>
      <c r="C12" s="13">
        <f>ROUND((Global_Params!$B$11+(Global_Params!$B$13-Global_Params!$B$11)*(A12-1)/(Global_Params!$B$6-1))/2,0)*2</f>
        <v>60</v>
      </c>
      <c r="D12" s="13">
        <f>ROUND((Global_Params!$B$12+(Global_Params!$B$14-Global_Params!$B$12)*(A12-1)/(Global_Params!$B$6-1))/2,0)*2</f>
        <v>30</v>
      </c>
      <c r="E12" s="3">
        <f t="shared" si="1"/>
        <v>1800</v>
      </c>
      <c r="F12" s="14" t="s">
        <v>168</v>
      </c>
      <c r="G12" s="14" t="s">
        <v>163</v>
      </c>
      <c r="H12" s="10">
        <v>1.7</v>
      </c>
      <c r="I12" s="3">
        <f>ROUND(E12/100*Global_Params!$B$25*8,0)</f>
        <v>6048</v>
      </c>
      <c r="J12" s="12">
        <v>4.0</v>
      </c>
      <c r="K12" s="2" t="s">
        <v>175</v>
      </c>
    </row>
    <row r="13">
      <c r="A13" s="3">
        <v>9.0</v>
      </c>
      <c r="B13" s="12" t="s">
        <v>176</v>
      </c>
      <c r="C13" s="13">
        <f>ROUND((Global_Params!$B$11+(Global_Params!$B$13-Global_Params!$B$11)*(A13-1)/(Global_Params!$B$6-1))/2,0)*2</f>
        <v>64</v>
      </c>
      <c r="D13" s="13">
        <f>ROUND((Global_Params!$B$12+(Global_Params!$B$14-Global_Params!$B$12)*(A13-1)/(Global_Params!$B$6-1))/2,0)*2</f>
        <v>32</v>
      </c>
      <c r="E13" s="3">
        <f t="shared" si="1"/>
        <v>2048</v>
      </c>
      <c r="F13" s="14" t="s">
        <v>168</v>
      </c>
      <c r="G13" s="14" t="s">
        <v>163</v>
      </c>
      <c r="H13" s="10">
        <v>1.8</v>
      </c>
      <c r="I13" s="3">
        <f>ROUND(E13/100*Global_Params!$B$25*8,0)</f>
        <v>6881</v>
      </c>
      <c r="J13" s="12">
        <v>6.0</v>
      </c>
      <c r="K13" s="2" t="s">
        <v>177</v>
      </c>
    </row>
    <row r="15">
      <c r="A15" s="2" t="s">
        <v>178</v>
      </c>
    </row>
    <row r="16">
      <c r="A16" s="2" t="s">
        <v>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4" width="18.0"/>
    <col customWidth="1" min="5" max="5" width="13.0"/>
    <col customWidth="1" min="6" max="6" width="11.0"/>
    <col customWidth="1" min="7" max="7" width="22.0"/>
    <col customWidth="1" min="8" max="8" width="21.0"/>
    <col customWidth="1" min="9" max="9" width="20.0"/>
    <col customWidth="1" min="10" max="10" width="40.0"/>
    <col customWidth="1" min="11" max="26" width="8.71"/>
  </cols>
  <sheetData>
    <row r="1">
      <c r="A1" s="1" t="s">
        <v>180</v>
      </c>
    </row>
    <row r="2">
      <c r="A2" s="2" t="s">
        <v>181</v>
      </c>
    </row>
    <row r="4">
      <c r="A4" s="5" t="s">
        <v>182</v>
      </c>
      <c r="B4" s="5" t="s">
        <v>183</v>
      </c>
      <c r="C4" s="5" t="s">
        <v>184</v>
      </c>
      <c r="D4" s="5" t="s">
        <v>185</v>
      </c>
      <c r="E4" s="5" t="s">
        <v>186</v>
      </c>
      <c r="F4" s="5" t="s">
        <v>187</v>
      </c>
      <c r="G4" s="5" t="s">
        <v>188</v>
      </c>
      <c r="H4" s="5" t="s">
        <v>189</v>
      </c>
      <c r="I4" s="5" t="s">
        <v>190</v>
      </c>
      <c r="J4" s="5" t="s">
        <v>191</v>
      </c>
    </row>
    <row r="5">
      <c r="A5" s="3">
        <v>1.0</v>
      </c>
      <c r="B5" s="12" t="s">
        <v>192</v>
      </c>
      <c r="C5" s="14" t="s">
        <v>168</v>
      </c>
      <c r="D5" s="12" t="s">
        <v>162</v>
      </c>
      <c r="E5" s="12">
        <v>2.0</v>
      </c>
      <c r="F5" s="15">
        <v>1.0</v>
      </c>
      <c r="G5" s="14">
        <v>40.0</v>
      </c>
      <c r="H5" s="16">
        <v>3.0</v>
      </c>
      <c r="I5" s="14">
        <v>120.0</v>
      </c>
      <c r="J5" s="2" t="s">
        <v>193</v>
      </c>
    </row>
    <row r="6">
      <c r="A6" s="3">
        <v>2.0</v>
      </c>
      <c r="B6" s="12" t="s">
        <v>194</v>
      </c>
      <c r="C6" s="14" t="s">
        <v>156</v>
      </c>
      <c r="D6" s="12" t="s">
        <v>168</v>
      </c>
      <c r="E6" s="12">
        <v>1.0</v>
      </c>
      <c r="F6" s="15">
        <v>1.15</v>
      </c>
      <c r="G6" s="14">
        <v>32.0</v>
      </c>
      <c r="H6" s="16">
        <v>3.6</v>
      </c>
      <c r="I6" s="14">
        <v>90.0</v>
      </c>
      <c r="J6" s="2" t="s">
        <v>195</v>
      </c>
    </row>
    <row r="7">
      <c r="A7" s="3">
        <v>3.0</v>
      </c>
      <c r="B7" s="12" t="s">
        <v>196</v>
      </c>
      <c r="C7" s="14" t="s">
        <v>162</v>
      </c>
      <c r="D7" s="12" t="s">
        <v>156</v>
      </c>
      <c r="E7" s="12">
        <v>4.0</v>
      </c>
      <c r="F7" s="15">
        <v>0.9</v>
      </c>
      <c r="G7" s="14">
        <v>55.0</v>
      </c>
      <c r="H7" s="16">
        <v>2.2</v>
      </c>
      <c r="I7" s="14">
        <v>170.0</v>
      </c>
      <c r="J7" s="2" t="s">
        <v>197</v>
      </c>
    </row>
    <row r="8">
      <c r="A8" s="3">
        <v>4.0</v>
      </c>
      <c r="B8" s="12" t="s">
        <v>198</v>
      </c>
      <c r="C8" s="14" t="s">
        <v>168</v>
      </c>
      <c r="D8" s="12" t="s">
        <v>156</v>
      </c>
      <c r="E8" s="12">
        <v>3.0</v>
      </c>
      <c r="F8" s="15">
        <v>1.05</v>
      </c>
      <c r="G8" s="14">
        <v>38.0</v>
      </c>
      <c r="H8" s="16">
        <v>3.2</v>
      </c>
      <c r="I8" s="14">
        <v>110.0</v>
      </c>
      <c r="J8" s="2" t="s">
        <v>199</v>
      </c>
    </row>
    <row r="9">
      <c r="A9" s="3">
        <v>5.0</v>
      </c>
      <c r="B9" s="12" t="s">
        <v>200</v>
      </c>
      <c r="C9" s="14" t="s">
        <v>156</v>
      </c>
      <c r="D9" s="12" t="s">
        <v>162</v>
      </c>
      <c r="E9" s="12">
        <v>6.0</v>
      </c>
      <c r="F9" s="15">
        <v>1.2</v>
      </c>
      <c r="G9" s="14">
        <v>28.0</v>
      </c>
      <c r="H9" s="16">
        <v>3.8</v>
      </c>
      <c r="I9" s="14">
        <v>80.0</v>
      </c>
      <c r="J9" s="2" t="s">
        <v>201</v>
      </c>
    </row>
    <row r="10">
      <c r="A10" s="3">
        <v>6.0</v>
      </c>
      <c r="B10" s="12" t="s">
        <v>202</v>
      </c>
      <c r="C10" s="14" t="s">
        <v>162</v>
      </c>
      <c r="D10" s="12" t="s">
        <v>168</v>
      </c>
      <c r="E10" s="12">
        <v>5.0</v>
      </c>
      <c r="F10" s="15">
        <v>0.95</v>
      </c>
      <c r="G10" s="14">
        <v>50.0</v>
      </c>
      <c r="H10" s="16">
        <v>2.5</v>
      </c>
      <c r="I10" s="14">
        <v>155.0</v>
      </c>
      <c r="J10" s="2" t="s">
        <v>203</v>
      </c>
    </row>
    <row r="11">
      <c r="A11" s="3">
        <v>7.0</v>
      </c>
      <c r="B11" s="12" t="s">
        <v>204</v>
      </c>
      <c r="C11" s="14" t="s">
        <v>168</v>
      </c>
      <c r="D11" s="12" t="s">
        <v>162</v>
      </c>
      <c r="E11" s="12">
        <v>8.0</v>
      </c>
      <c r="F11" s="15">
        <v>1.1</v>
      </c>
      <c r="G11" s="14">
        <v>36.0</v>
      </c>
      <c r="H11" s="16">
        <v>3.1</v>
      </c>
      <c r="I11" s="14">
        <v>115.0</v>
      </c>
      <c r="J11" s="2" t="s">
        <v>205</v>
      </c>
    </row>
    <row r="12">
      <c r="A12" s="3">
        <v>8.0</v>
      </c>
      <c r="B12" s="12" t="s">
        <v>206</v>
      </c>
      <c r="C12" s="14" t="s">
        <v>156</v>
      </c>
      <c r="D12" s="12" t="s">
        <v>168</v>
      </c>
      <c r="E12" s="12">
        <v>7.0</v>
      </c>
      <c r="F12" s="15">
        <v>1.0</v>
      </c>
      <c r="G12" s="14">
        <v>42.0</v>
      </c>
      <c r="H12" s="16">
        <v>2.9</v>
      </c>
      <c r="I12" s="14">
        <v>125.0</v>
      </c>
      <c r="J12" s="2" t="s">
        <v>207</v>
      </c>
    </row>
    <row r="13">
      <c r="A13" s="3">
        <v>9.0</v>
      </c>
      <c r="B13" s="12" t="s">
        <v>208</v>
      </c>
      <c r="C13" s="14" t="s">
        <v>162</v>
      </c>
      <c r="D13" s="12" t="s">
        <v>156</v>
      </c>
      <c r="E13" s="12" t="s">
        <v>209</v>
      </c>
      <c r="F13" s="15">
        <v>0.85</v>
      </c>
      <c r="G13" s="14">
        <v>60.0</v>
      </c>
      <c r="H13" s="16">
        <v>2.0</v>
      </c>
      <c r="I13" s="14">
        <v>190.0</v>
      </c>
      <c r="J13" s="2" t="s">
        <v>210</v>
      </c>
    </row>
    <row r="15">
      <c r="A15" s="2" t="s">
        <v>211</v>
      </c>
    </row>
    <row r="16">
      <c r="A16" s="2" t="s">
        <v>212</v>
      </c>
    </row>
    <row r="17">
      <c r="A17" s="2" t="s">
        <v>213</v>
      </c>
    </row>
    <row r="18">
      <c r="A18" s="2" t="s">
        <v>214</v>
      </c>
    </row>
    <row r="19">
      <c r="A19" s="2" t="s">
        <v>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4" width="15.0"/>
    <col customWidth="1" min="5" max="5" width="20.0"/>
    <col customWidth="1" min="6" max="6" width="17.0"/>
    <col customWidth="1" min="7" max="7" width="13.0"/>
    <col customWidth="1" min="8" max="8" width="40.0"/>
    <col customWidth="1" min="9" max="26" width="8.71"/>
  </cols>
  <sheetData>
    <row r="1">
      <c r="A1" s="1" t="s">
        <v>216</v>
      </c>
    </row>
    <row r="2">
      <c r="A2" s="2" t="s">
        <v>217</v>
      </c>
    </row>
    <row r="4">
      <c r="A4" s="5" t="s">
        <v>218</v>
      </c>
      <c r="B4" s="5" t="s">
        <v>219</v>
      </c>
      <c r="C4" s="5" t="s">
        <v>220</v>
      </c>
      <c r="D4" s="5" t="s">
        <v>221</v>
      </c>
      <c r="E4" s="5" t="s">
        <v>222</v>
      </c>
      <c r="F4" s="5" t="s">
        <v>223</v>
      </c>
      <c r="G4" s="5" t="s">
        <v>224</v>
      </c>
      <c r="H4" s="5" t="s">
        <v>43</v>
      </c>
    </row>
    <row r="5">
      <c r="A5" s="3" t="s">
        <v>156</v>
      </c>
      <c r="B5" s="3" t="s">
        <v>225</v>
      </c>
      <c r="C5" s="12">
        <v>4.0</v>
      </c>
      <c r="D5" s="14">
        <v>25.0</v>
      </c>
      <c r="E5" s="14">
        <v>6.0</v>
      </c>
      <c r="F5" s="3" t="s">
        <v>163</v>
      </c>
      <c r="G5" s="13">
        <f>Global_Params!$B$26</f>
        <v>3</v>
      </c>
      <c r="H5" s="2" t="s">
        <v>226</v>
      </c>
    </row>
    <row r="6">
      <c r="A6" s="3" t="s">
        <v>162</v>
      </c>
      <c r="B6" s="3" t="s">
        <v>225</v>
      </c>
      <c r="C6" s="12">
        <v>6.0</v>
      </c>
      <c r="D6" s="14">
        <v>20.0</v>
      </c>
      <c r="E6" s="14">
        <v>9.0</v>
      </c>
      <c r="F6" s="3" t="s">
        <v>163</v>
      </c>
      <c r="G6" s="13">
        <f>Global_Params!$B$26</f>
        <v>3</v>
      </c>
      <c r="H6" s="2" t="s">
        <v>227</v>
      </c>
    </row>
    <row r="7">
      <c r="A7" s="3" t="s">
        <v>168</v>
      </c>
      <c r="B7" s="3" t="s">
        <v>225</v>
      </c>
      <c r="C7" s="12">
        <v>9.0</v>
      </c>
      <c r="D7" s="14">
        <v>14.0</v>
      </c>
      <c r="E7" s="14">
        <v>14.0</v>
      </c>
      <c r="F7" s="3" t="s">
        <v>163</v>
      </c>
      <c r="G7" s="13">
        <f>Global_Params!$B$26*1.4</f>
        <v>4.2</v>
      </c>
      <c r="H7" s="2" t="s">
        <v>228</v>
      </c>
    </row>
    <row r="8">
      <c r="A8" s="3" t="s">
        <v>156</v>
      </c>
      <c r="B8" s="3" t="s">
        <v>229</v>
      </c>
      <c r="C8" s="12">
        <v>14.0</v>
      </c>
      <c r="D8" s="14">
        <v>18.0</v>
      </c>
      <c r="E8" s="14">
        <v>9.0</v>
      </c>
      <c r="F8" s="3" t="s">
        <v>157</v>
      </c>
      <c r="G8" s="3" t="s">
        <v>230</v>
      </c>
      <c r="H8" s="2" t="s">
        <v>231</v>
      </c>
    </row>
    <row r="9">
      <c r="A9" s="3" t="s">
        <v>162</v>
      </c>
      <c r="B9" s="3" t="s">
        <v>229</v>
      </c>
      <c r="C9" s="12">
        <v>20.0</v>
      </c>
      <c r="D9" s="14">
        <v>15.0</v>
      </c>
      <c r="E9" s="14">
        <v>13.0</v>
      </c>
      <c r="F9" s="3" t="s">
        <v>157</v>
      </c>
      <c r="G9" s="3" t="s">
        <v>230</v>
      </c>
      <c r="H9" s="2" t="s">
        <v>231</v>
      </c>
    </row>
    <row r="10">
      <c r="A10" s="3" t="s">
        <v>168</v>
      </c>
      <c r="B10" s="3" t="s">
        <v>229</v>
      </c>
      <c r="C10" s="12">
        <v>30.0</v>
      </c>
      <c r="D10" s="14">
        <v>10.0</v>
      </c>
      <c r="E10" s="14">
        <v>20.0</v>
      </c>
      <c r="F10" s="3" t="s">
        <v>157</v>
      </c>
      <c r="G10" s="3" t="s">
        <v>230</v>
      </c>
      <c r="H10" s="2" t="s">
        <v>232</v>
      </c>
    </row>
    <row r="12">
      <c r="A12" s="2" t="s">
        <v>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17.0"/>
    <col customWidth="1" min="4" max="4" width="14.0"/>
    <col customWidth="1" min="5" max="5" width="12.0"/>
    <col customWidth="1" min="6" max="6" width="11.0"/>
    <col customWidth="1" min="7" max="7" width="22.0"/>
    <col customWidth="1" min="8" max="8" width="40.0"/>
    <col customWidth="1" min="9" max="26" width="8.71"/>
  </cols>
  <sheetData>
    <row r="1">
      <c r="A1" s="1" t="s">
        <v>234</v>
      </c>
    </row>
    <row r="2">
      <c r="A2" s="2" t="s">
        <v>235</v>
      </c>
    </row>
    <row r="4">
      <c r="A4" s="5" t="s">
        <v>236</v>
      </c>
      <c r="B4" s="5" t="s">
        <v>237</v>
      </c>
      <c r="C4" s="5" t="s">
        <v>238</v>
      </c>
      <c r="D4" s="5" t="s">
        <v>239</v>
      </c>
      <c r="E4" s="5" t="s">
        <v>240</v>
      </c>
      <c r="F4" s="5" t="s">
        <v>241</v>
      </c>
      <c r="G4" s="5" t="s">
        <v>242</v>
      </c>
      <c r="H4" s="5" t="s">
        <v>43</v>
      </c>
    </row>
    <row r="5">
      <c r="A5" s="3">
        <v>1.0</v>
      </c>
      <c r="B5" s="17">
        <v>0.0</v>
      </c>
      <c r="C5" s="18">
        <f>B5</f>
        <v>0</v>
      </c>
      <c r="D5" s="15">
        <v>1.0</v>
      </c>
      <c r="E5" s="15">
        <v>1.0</v>
      </c>
      <c r="F5" s="15">
        <v>1.0</v>
      </c>
      <c r="G5" s="14" t="s">
        <v>243</v>
      </c>
      <c r="H5" s="2" t="s">
        <v>244</v>
      </c>
    </row>
    <row r="6">
      <c r="A6" s="3">
        <v>2.0</v>
      </c>
      <c r="B6" s="17">
        <v>600.0</v>
      </c>
      <c r="C6" s="18">
        <f t="shared" ref="C6:C9" si="1">C5+B6</f>
        <v>600</v>
      </c>
      <c r="D6" s="15">
        <v>1.2</v>
      </c>
      <c r="E6" s="15">
        <v>1.05</v>
      </c>
      <c r="F6" s="15">
        <v>1.15</v>
      </c>
      <c r="G6" s="14" t="s">
        <v>243</v>
      </c>
      <c r="H6" s="2" t="s">
        <v>245</v>
      </c>
    </row>
    <row r="7">
      <c r="A7" s="3">
        <v>3.0</v>
      </c>
      <c r="B7" s="17">
        <v>1500.0</v>
      </c>
      <c r="C7" s="18">
        <f t="shared" si="1"/>
        <v>2100</v>
      </c>
      <c r="D7" s="15">
        <v>1.4</v>
      </c>
      <c r="E7" s="15">
        <v>1.15</v>
      </c>
      <c r="F7" s="15">
        <v>1.3</v>
      </c>
      <c r="G7" s="14" t="s">
        <v>246</v>
      </c>
      <c r="H7" s="2" t="s">
        <v>247</v>
      </c>
    </row>
    <row r="8">
      <c r="A8" s="3">
        <v>4.0</v>
      </c>
      <c r="B8" s="17">
        <v>3200.0</v>
      </c>
      <c r="C8" s="18">
        <f t="shared" si="1"/>
        <v>5300</v>
      </c>
      <c r="D8" s="15">
        <v>1.65</v>
      </c>
      <c r="E8" s="15">
        <v>1.25</v>
      </c>
      <c r="F8" s="15">
        <v>1.55</v>
      </c>
      <c r="G8" s="14" t="s">
        <v>248</v>
      </c>
      <c r="H8" s="2" t="s">
        <v>249</v>
      </c>
    </row>
    <row r="9">
      <c r="A9" s="3">
        <v>5.0</v>
      </c>
      <c r="B9" s="17">
        <v>6000.0</v>
      </c>
      <c r="C9" s="18">
        <f t="shared" si="1"/>
        <v>11300</v>
      </c>
      <c r="D9" s="15">
        <v>2.0</v>
      </c>
      <c r="E9" s="15">
        <v>1.4</v>
      </c>
      <c r="F9" s="15">
        <v>1.9</v>
      </c>
      <c r="G9" s="14" t="s">
        <v>250</v>
      </c>
      <c r="H9" s="2" t="s">
        <v>251</v>
      </c>
    </row>
    <row r="11">
      <c r="A11" s="2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34.0"/>
    <col customWidth="1" min="3" max="3" width="16.0"/>
    <col customWidth="1" min="4" max="4" width="20.0"/>
    <col customWidth="1" min="5" max="5" width="52.0"/>
    <col customWidth="1" min="6" max="26" width="8.71"/>
  </cols>
  <sheetData>
    <row r="1">
      <c r="A1" s="1" t="s">
        <v>253</v>
      </c>
    </row>
    <row r="2">
      <c r="A2" s="2" t="s">
        <v>254</v>
      </c>
    </row>
    <row r="4">
      <c r="A4" s="5" t="s">
        <v>255</v>
      </c>
      <c r="B4" s="5" t="s">
        <v>256</v>
      </c>
      <c r="C4" s="5" t="s">
        <v>257</v>
      </c>
      <c r="D4" s="5" t="s">
        <v>258</v>
      </c>
      <c r="E4" s="5" t="s">
        <v>259</v>
      </c>
    </row>
    <row r="5">
      <c r="A5" s="3">
        <v>1.0</v>
      </c>
      <c r="B5" s="3" t="s">
        <v>260</v>
      </c>
      <c r="C5" s="12" t="s">
        <v>261</v>
      </c>
      <c r="D5" s="3" t="s">
        <v>262</v>
      </c>
      <c r="E5" s="2" t="s">
        <v>263</v>
      </c>
    </row>
    <row r="6">
      <c r="A6" s="3">
        <v>2.0</v>
      </c>
      <c r="B6" s="3" t="s">
        <v>264</v>
      </c>
      <c r="C6" s="12" t="s">
        <v>265</v>
      </c>
      <c r="D6" s="3" t="s">
        <v>266</v>
      </c>
      <c r="E6" s="2" t="s">
        <v>267</v>
      </c>
    </row>
    <row r="7">
      <c r="A7" s="3">
        <v>3.0</v>
      </c>
      <c r="B7" s="3" t="s">
        <v>268</v>
      </c>
      <c r="C7" s="12" t="s">
        <v>269</v>
      </c>
      <c r="D7" s="3" t="s">
        <v>270</v>
      </c>
      <c r="E7" s="2" t="s">
        <v>271</v>
      </c>
    </row>
    <row r="8">
      <c r="A8" s="3">
        <v>4.0</v>
      </c>
      <c r="B8" s="3" t="s">
        <v>272</v>
      </c>
      <c r="C8" s="12" t="s">
        <v>273</v>
      </c>
      <c r="D8" s="3" t="s">
        <v>274</v>
      </c>
      <c r="E8" s="2" t="s">
        <v>275</v>
      </c>
    </row>
    <row r="9">
      <c r="A9" s="3">
        <v>5.0</v>
      </c>
      <c r="B9" s="3" t="s">
        <v>276</v>
      </c>
      <c r="C9" s="12" t="s">
        <v>277</v>
      </c>
      <c r="D9" s="3" t="s">
        <v>278</v>
      </c>
      <c r="E9" s="2" t="s">
        <v>279</v>
      </c>
    </row>
    <row r="11">
      <c r="A11" s="4" t="s">
        <v>280</v>
      </c>
    </row>
    <row r="12">
      <c r="A12" s="2" t="s">
        <v>281</v>
      </c>
    </row>
    <row r="13">
      <c r="A13" s="2" t="s">
        <v>282</v>
      </c>
    </row>
    <row r="14">
      <c r="A14" s="2" t="s">
        <v>283</v>
      </c>
    </row>
    <row r="15">
      <c r="A15" s="2" t="s">
        <v>284</v>
      </c>
    </row>
    <row r="16">
      <c r="A16" s="2" t="s">
        <v>285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7.0"/>
    <col customWidth="1" min="3" max="4" width="11.0"/>
    <col customWidth="1" min="5" max="5" width="13.0"/>
    <col customWidth="1" min="6" max="6" width="14.0"/>
    <col customWidth="1" min="7" max="8" width="12.0"/>
    <col customWidth="1" min="9" max="9" width="11.0"/>
    <col customWidth="1" min="10" max="10" width="12.0"/>
    <col customWidth="1" min="11" max="11" width="11.0"/>
    <col customWidth="1" min="12" max="12" width="10.0"/>
    <col customWidth="1" min="13" max="13" width="11.0"/>
    <col customWidth="1" min="14" max="14" width="13.0"/>
    <col customWidth="1" min="15" max="15" width="14.0"/>
    <col customWidth="1" min="16" max="16" width="18.0"/>
    <col customWidth="1" min="17" max="18" width="12.0"/>
    <col customWidth="1" min="19" max="19" width="13.0"/>
    <col customWidth="1" min="20" max="20" width="12.0"/>
    <col customWidth="1" min="21" max="21" width="11.0"/>
    <col customWidth="1" min="22" max="23" width="14.0"/>
    <col customWidth="1" min="24" max="24" width="10.0"/>
    <col customWidth="1" min="25" max="25" width="15.0"/>
    <col customWidth="1" min="26" max="26" width="8.71"/>
  </cols>
  <sheetData>
    <row r="1">
      <c r="A1" s="1" t="s">
        <v>286</v>
      </c>
    </row>
    <row r="2">
      <c r="A2" s="2" t="s">
        <v>287</v>
      </c>
    </row>
    <row r="4">
      <c r="A4" s="5" t="s">
        <v>145</v>
      </c>
      <c r="B4" s="5" t="s">
        <v>128</v>
      </c>
      <c r="C4" s="5" t="s">
        <v>288</v>
      </c>
      <c r="D4" s="5" t="s">
        <v>289</v>
      </c>
      <c r="E4" s="5" t="s">
        <v>290</v>
      </c>
      <c r="F4" s="5" t="s">
        <v>131</v>
      </c>
      <c r="G4" s="5" t="s">
        <v>291</v>
      </c>
      <c r="H4" s="5" t="s">
        <v>292</v>
      </c>
      <c r="I4" s="5" t="s">
        <v>293</v>
      </c>
      <c r="J4" s="5" t="s">
        <v>294</v>
      </c>
      <c r="K4" s="5" t="s">
        <v>295</v>
      </c>
      <c r="L4" s="5" t="s">
        <v>296</v>
      </c>
      <c r="M4" s="5" t="s">
        <v>297</v>
      </c>
      <c r="N4" s="5" t="s">
        <v>298</v>
      </c>
      <c r="O4" s="5" t="s">
        <v>299</v>
      </c>
      <c r="P4" s="5" t="s">
        <v>300</v>
      </c>
      <c r="Q4" s="5" t="s">
        <v>301</v>
      </c>
      <c r="R4" s="5" t="s">
        <v>302</v>
      </c>
      <c r="S4" s="5" t="s">
        <v>129</v>
      </c>
      <c r="T4" s="5" t="s">
        <v>303</v>
      </c>
      <c r="U4" s="5" t="s">
        <v>304</v>
      </c>
      <c r="V4" s="5" t="s">
        <v>305</v>
      </c>
      <c r="W4" s="5" t="s">
        <v>306</v>
      </c>
      <c r="X4" s="5" t="s">
        <v>307</v>
      </c>
      <c r="Y4" s="5" t="s">
        <v>308</v>
      </c>
    </row>
    <row r="5">
      <c r="A5" s="3">
        <v>1.0</v>
      </c>
      <c r="B5" s="3">
        <v>1.0</v>
      </c>
      <c r="C5" s="13">
        <f>MIN(Maps!$C$5-2,ROUND(Maps!$C$5*Growth_Curve!$B$5/2,0)*2)</f>
        <v>10</v>
      </c>
      <c r="D5" s="13">
        <f>MIN(Maps!$D$5,ROUND(Maps!$D$5*Growth_Curve!$B$5/2,0)*2)</f>
        <v>6</v>
      </c>
      <c r="E5" s="3">
        <f t="shared" ref="E5:E76" si="1">C5*D5</f>
        <v>60</v>
      </c>
      <c r="F5" s="3">
        <f>E5</f>
        <v>60</v>
      </c>
      <c r="G5" s="3">
        <f>ROUND(C5/2,0)+Global_Params!$B$16</f>
        <v>7</v>
      </c>
      <c r="H5" s="3">
        <f>ROUND(D5/2,0)+Global_Params!$B$16</f>
        <v>5</v>
      </c>
      <c r="I5" s="14" t="s">
        <v>309</v>
      </c>
      <c r="J5" s="13">
        <f>ROUND(Global_Params!$B$17*(1+Global_Params!$B$18*(B5-1))*Maps!$H$5,0)</f>
        <v>100</v>
      </c>
      <c r="K5" s="3">
        <f t="shared" ref="K5:K76" si="2">J5-L5-M5</f>
        <v>90</v>
      </c>
      <c r="L5" s="3">
        <f>ROUND(J5*(Global_Params!$B$19+(Global_Params!$B$20-Global_Params!$B$19)*(B5-1)/(Global_Params!$B$7-1)),0)</f>
        <v>10</v>
      </c>
      <c r="M5" s="13">
        <f>ROUND(J5*IF(Maps!$G$5="Yes",Global_Params!$B$21,0),0)</f>
        <v>0</v>
      </c>
      <c r="N5" s="3">
        <f t="shared" ref="N5:N76" si="3">MAX(2,ROUND(E5/45,0))</f>
        <v>2</v>
      </c>
      <c r="O5" s="3">
        <f>1</f>
        <v>1</v>
      </c>
      <c r="P5" s="3">
        <f t="shared" ref="P5:P76" si="4">ROUND(N5*0.6,0)</f>
        <v>1</v>
      </c>
      <c r="Q5" s="13">
        <f>ROUND(E5/100*Global_Params!$B$25,0)</f>
        <v>25</v>
      </c>
      <c r="R5" s="13" t="str">
        <f>Maps!$F$5</f>
        <v>Flowers</v>
      </c>
      <c r="S5" s="19">
        <f>Growth_Curve!$B$5</f>
        <v>0.4</v>
      </c>
      <c r="T5" s="13">
        <f>IF(B5&lt;Global_Params!$B$30,0,MAX(1,ROUND(E5/260,0)))</f>
        <v>0</v>
      </c>
      <c r="U5" s="3" t="str">
        <f>IF(T5=0,"-","R")</f>
        <v>-</v>
      </c>
      <c r="V5" s="13">
        <f>IF(T5=0,0,ROUND(C5/2*Global_Params!$B$31,0))</f>
        <v>0</v>
      </c>
      <c r="W5" s="13">
        <f>IF(T5=0,0,ROUND(D5/2*Global_Params!$B$31,0))</f>
        <v>0</v>
      </c>
      <c r="X5" s="13">
        <f>IF(T5=0,0,Global_Params!$B$32)</f>
        <v>0</v>
      </c>
      <c r="Y5" s="13">
        <f>T5*Global_Params!$B$33</f>
        <v>0</v>
      </c>
    </row>
    <row r="6">
      <c r="A6" s="3">
        <v>1.0</v>
      </c>
      <c r="B6" s="3">
        <v>2.0</v>
      </c>
      <c r="C6" s="13">
        <f>MIN(Maps!$C$5-2,MAX(C5+2,ROUND(Maps!$C$5*Growth_Curve!$B$6/2,0)*2))</f>
        <v>12</v>
      </c>
      <c r="D6" s="13">
        <f>MIN(Maps!$D$5,MAX(D5,ROUND(Maps!$D$5*Growth_Curve!$B$6/2,0)*2))</f>
        <v>8</v>
      </c>
      <c r="E6" s="3">
        <f t="shared" si="1"/>
        <v>96</v>
      </c>
      <c r="F6" s="3">
        <f t="shared" ref="F6:F12" si="5">E6-E5</f>
        <v>36</v>
      </c>
      <c r="G6" s="3">
        <f>ROUND(C6/2,0)+Global_Params!$B$16</f>
        <v>8</v>
      </c>
      <c r="H6" s="3">
        <f>ROUND(D6/2,0)+Global_Params!$B$16</f>
        <v>6</v>
      </c>
      <c r="I6" s="14" t="s">
        <v>310</v>
      </c>
      <c r="J6" s="13">
        <f>ROUND(Global_Params!$B$17*(1+Global_Params!$B$18*(B6-1))*Maps!$H$5,0)</f>
        <v>118</v>
      </c>
      <c r="K6" s="3">
        <f t="shared" si="2"/>
        <v>103</v>
      </c>
      <c r="L6" s="3">
        <f>ROUND(J6*(Global_Params!$B$19+(Global_Params!$B$20-Global_Params!$B$19)*(B6-1)/(Global_Params!$B$7-1)),0)</f>
        <v>15</v>
      </c>
      <c r="M6" s="13">
        <f>ROUND(J6*IF(Maps!$G$5="Yes",Global_Params!$B$21,0),0)</f>
        <v>0</v>
      </c>
      <c r="N6" s="3">
        <f t="shared" si="3"/>
        <v>2</v>
      </c>
      <c r="O6" s="13">
        <f>MAX(1,MIN(Global_Params!$B$26,ROUND(F6/50,0)))</f>
        <v>1</v>
      </c>
      <c r="P6" s="3">
        <f t="shared" si="4"/>
        <v>1</v>
      </c>
      <c r="Q6" s="13">
        <f>ROUND(E6/100*Global_Params!$B$25,0)</f>
        <v>40</v>
      </c>
      <c r="R6" s="13" t="str">
        <f>Maps!$F$5</f>
        <v>Flowers</v>
      </c>
      <c r="S6" s="19">
        <f>Growth_Curve!$B$6</f>
        <v>0.46</v>
      </c>
      <c r="T6" s="13">
        <f>IF(B6&lt;Global_Params!$B$30,0,MAX(1,ROUND(E6/260,0)))</f>
        <v>0</v>
      </c>
      <c r="U6" s="3" t="str">
        <f>IF(T6=0,"-","L")</f>
        <v>-</v>
      </c>
      <c r="V6" s="13">
        <f>IF(T6=0,0,ROUND(C6/2*Global_Params!$B$31,0))</f>
        <v>0</v>
      </c>
      <c r="W6" s="13">
        <f>IF(T6=0,0,ROUND(D6/2*Global_Params!$B$31,0))</f>
        <v>0</v>
      </c>
      <c r="X6" s="13">
        <f>IF(T6=0,0,Global_Params!$B$32)</f>
        <v>0</v>
      </c>
      <c r="Y6" s="13">
        <f>T6*Global_Params!$B$33</f>
        <v>0</v>
      </c>
    </row>
    <row r="7">
      <c r="A7" s="3">
        <v>1.0</v>
      </c>
      <c r="B7" s="3">
        <v>3.0</v>
      </c>
      <c r="C7" s="13">
        <f>MIN(Maps!$C$5-2,MAX(C6+2,ROUND(Maps!$C$5*Growth_Curve!$B$7/2,0)*2))</f>
        <v>14</v>
      </c>
      <c r="D7" s="13">
        <f>MIN(Maps!$D$5,MAX(D6,ROUND(Maps!$D$5*Growth_Curve!$B$7/2,0)*2))</f>
        <v>8</v>
      </c>
      <c r="E7" s="3">
        <f t="shared" si="1"/>
        <v>112</v>
      </c>
      <c r="F7" s="3">
        <f t="shared" si="5"/>
        <v>16</v>
      </c>
      <c r="G7" s="3">
        <f>ROUND(C7/2,0)+Global_Params!$B$16</f>
        <v>9</v>
      </c>
      <c r="H7" s="3">
        <f>ROUND(D7/2,0)+Global_Params!$B$16</f>
        <v>6</v>
      </c>
      <c r="I7" s="14" t="s">
        <v>309</v>
      </c>
      <c r="J7" s="13">
        <f>ROUND(Global_Params!$B$17*(1+Global_Params!$B$18*(B7-1))*Maps!$H$5,0)</f>
        <v>136</v>
      </c>
      <c r="K7" s="3">
        <f t="shared" si="2"/>
        <v>115</v>
      </c>
      <c r="L7" s="3">
        <f>ROUND(J7*(Global_Params!$B$19+(Global_Params!$B$20-Global_Params!$B$19)*(B7-1)/(Global_Params!$B$7-1)),0)</f>
        <v>21</v>
      </c>
      <c r="M7" s="13">
        <f>ROUND(J7*IF(Maps!$G$5="Yes",Global_Params!$B$21,0),0)</f>
        <v>0</v>
      </c>
      <c r="N7" s="3">
        <f t="shared" si="3"/>
        <v>2</v>
      </c>
      <c r="O7" s="13">
        <f>MAX(1,MIN(Global_Params!$B$26,ROUND(F7/50,0)))</f>
        <v>1</v>
      </c>
      <c r="P7" s="3">
        <f t="shared" si="4"/>
        <v>1</v>
      </c>
      <c r="Q7" s="13">
        <f>ROUND(E7/100*Global_Params!$B$25,0)</f>
        <v>47</v>
      </c>
      <c r="R7" s="13" t="str">
        <f>Maps!$F$5</f>
        <v>Flowers</v>
      </c>
      <c r="S7" s="19">
        <f>Growth_Curve!$B$7</f>
        <v>0.54</v>
      </c>
      <c r="T7" s="13">
        <f>IF(B7&lt;Global_Params!$B$30,0,MAX(1,ROUND(E7/260,0)))</f>
        <v>0</v>
      </c>
      <c r="U7" s="3" t="str">
        <f>IF(T7=0,"-","R")</f>
        <v>-</v>
      </c>
      <c r="V7" s="13">
        <f>IF(T7=0,0,ROUND(C7/2*Global_Params!$B$31,0))</f>
        <v>0</v>
      </c>
      <c r="W7" s="13">
        <f>IF(T7=0,0,ROUND(D7/2*Global_Params!$B$31,0))</f>
        <v>0</v>
      </c>
      <c r="X7" s="13">
        <f>IF(T7=0,0,Global_Params!$B$32)</f>
        <v>0</v>
      </c>
      <c r="Y7" s="13">
        <f>T7*Global_Params!$B$33</f>
        <v>0</v>
      </c>
    </row>
    <row r="8">
      <c r="A8" s="3">
        <v>1.0</v>
      </c>
      <c r="B8" s="3">
        <v>4.0</v>
      </c>
      <c r="C8" s="13">
        <f>MIN(Maps!$C$5-2,MAX(C7+2,ROUND(Maps!$C$5*Growth_Curve!$B$8/2,0)*2))</f>
        <v>16</v>
      </c>
      <c r="D8" s="13">
        <f>MIN(Maps!$D$5,MAX(D7,ROUND(Maps!$D$5*Growth_Curve!$B$8/2,0)*2))</f>
        <v>10</v>
      </c>
      <c r="E8" s="3">
        <f t="shared" si="1"/>
        <v>160</v>
      </c>
      <c r="F8" s="3">
        <f t="shared" si="5"/>
        <v>48</v>
      </c>
      <c r="G8" s="3">
        <f>ROUND(C8/2,0)+Global_Params!$B$16</f>
        <v>10</v>
      </c>
      <c r="H8" s="3">
        <f>ROUND(D8/2,0)+Global_Params!$B$16</f>
        <v>7</v>
      </c>
      <c r="I8" s="14" t="s">
        <v>310</v>
      </c>
      <c r="J8" s="13">
        <f>ROUND(Global_Params!$B$17*(1+Global_Params!$B$18*(B8-1))*Maps!$H$5,0)</f>
        <v>154</v>
      </c>
      <c r="K8" s="3">
        <f t="shared" si="2"/>
        <v>125</v>
      </c>
      <c r="L8" s="3">
        <f>ROUND(J8*(Global_Params!$B$19+(Global_Params!$B$20-Global_Params!$B$19)*(B8-1)/(Global_Params!$B$7-1)),0)</f>
        <v>29</v>
      </c>
      <c r="M8" s="13">
        <f>ROUND(J8*IF(Maps!$G$5="Yes",Global_Params!$B$21,0),0)</f>
        <v>0</v>
      </c>
      <c r="N8" s="3">
        <f t="shared" si="3"/>
        <v>4</v>
      </c>
      <c r="O8" s="13">
        <f>MAX(1,MIN(Global_Params!$B$26,ROUND(F8/50,0)))</f>
        <v>1</v>
      </c>
      <c r="P8" s="3">
        <f t="shared" si="4"/>
        <v>2</v>
      </c>
      <c r="Q8" s="13">
        <f>ROUND(E8/100*Global_Params!$B$25,0)</f>
        <v>67</v>
      </c>
      <c r="R8" s="13" t="str">
        <f>Maps!$F$5</f>
        <v>Flowers</v>
      </c>
      <c r="S8" s="19">
        <f>Growth_Curve!$B$8</f>
        <v>0.66</v>
      </c>
      <c r="T8" s="13">
        <f>IF(B8&lt;Global_Params!$B$30,0,MAX(1,ROUND(E8/260,0)))</f>
        <v>0</v>
      </c>
      <c r="U8" s="3" t="str">
        <f>IF(T8=0,"-","L")</f>
        <v>-</v>
      </c>
      <c r="V8" s="13">
        <f>IF(T8=0,0,ROUND(C8/2*Global_Params!$B$31,0))</f>
        <v>0</v>
      </c>
      <c r="W8" s="13">
        <f>IF(T8=0,0,ROUND(D8/2*Global_Params!$B$31,0))</f>
        <v>0</v>
      </c>
      <c r="X8" s="13">
        <f>IF(T8=0,0,Global_Params!$B$32)</f>
        <v>0</v>
      </c>
      <c r="Y8" s="13">
        <f>T8*Global_Params!$B$33</f>
        <v>0</v>
      </c>
    </row>
    <row r="9">
      <c r="A9" s="3">
        <v>1.0</v>
      </c>
      <c r="B9" s="3">
        <v>5.0</v>
      </c>
      <c r="C9" s="13">
        <f>MIN(Maps!$C$5-2,MAX(C8+2,ROUND(Maps!$C$5*Growth_Curve!$B$9/2,0)*2))</f>
        <v>18</v>
      </c>
      <c r="D9" s="13">
        <f>MIN(Maps!$D$5,MAX(D8,ROUND(Maps!$D$5*Growth_Curve!$B$9/2,0)*2))</f>
        <v>12</v>
      </c>
      <c r="E9" s="3">
        <f t="shared" si="1"/>
        <v>216</v>
      </c>
      <c r="F9" s="3">
        <f t="shared" si="5"/>
        <v>56</v>
      </c>
      <c r="G9" s="3">
        <f>ROUND(C9/2,0)+Global_Params!$B$16</f>
        <v>11</v>
      </c>
      <c r="H9" s="3">
        <f>ROUND(D9/2,0)+Global_Params!$B$16</f>
        <v>8</v>
      </c>
      <c r="I9" s="14" t="s">
        <v>309</v>
      </c>
      <c r="J9" s="13">
        <f>ROUND(Global_Params!$B$17*(1+Global_Params!$B$18*(B9-1))*Maps!$H$5,0)</f>
        <v>172</v>
      </c>
      <c r="K9" s="3">
        <f t="shared" si="2"/>
        <v>135</v>
      </c>
      <c r="L9" s="3">
        <f>ROUND(J9*(Global_Params!$B$19+(Global_Params!$B$20-Global_Params!$B$19)*(B9-1)/(Global_Params!$B$7-1)),0)</f>
        <v>37</v>
      </c>
      <c r="M9" s="13">
        <f>ROUND(J9*IF(Maps!$G$5="Yes",Global_Params!$B$21,0),0)</f>
        <v>0</v>
      </c>
      <c r="N9" s="3">
        <f t="shared" si="3"/>
        <v>5</v>
      </c>
      <c r="O9" s="13">
        <f>MAX(1,MIN(Global_Params!$B$26,ROUND(F9/50,0)))</f>
        <v>1</v>
      </c>
      <c r="P9" s="3">
        <f t="shared" si="4"/>
        <v>3</v>
      </c>
      <c r="Q9" s="13">
        <f>ROUND(E9/100*Global_Params!$B$25,0)</f>
        <v>91</v>
      </c>
      <c r="R9" s="13" t="str">
        <f>Maps!$F$5</f>
        <v>Flowers</v>
      </c>
      <c r="S9" s="19">
        <f>Growth_Curve!$B$9</f>
        <v>0.79</v>
      </c>
      <c r="T9" s="13">
        <f>IF(B9&lt;Global_Params!$B$30,0,MAX(1,ROUND(E9/260,0)))</f>
        <v>1</v>
      </c>
      <c r="U9" s="3" t="str">
        <f>IF(T9=0,"-","R")</f>
        <v>R</v>
      </c>
      <c r="V9" s="13">
        <f>IF(T9=0,0,ROUND(C9/2*Global_Params!$B$31,0))</f>
        <v>7</v>
      </c>
      <c r="W9" s="13">
        <f>IF(T9=0,0,ROUND(D9/2*Global_Params!$B$31,0))</f>
        <v>5</v>
      </c>
      <c r="X9" s="13">
        <f>IF(T9=0,0,Global_Params!$B$32)</f>
        <v>4</v>
      </c>
      <c r="Y9" s="13">
        <f>T9*Global_Params!$B$33</f>
        <v>10</v>
      </c>
    </row>
    <row r="10">
      <c r="A10" s="3">
        <v>1.0</v>
      </c>
      <c r="B10" s="3">
        <v>6.0</v>
      </c>
      <c r="C10" s="13">
        <f>MIN(Maps!$C$5-2,MAX(C9+2,ROUND(Maps!$C$5*Growth_Curve!$B$10/2,0)*2))</f>
        <v>22</v>
      </c>
      <c r="D10" s="13">
        <f>MIN(Maps!$D$5,MAX(D9,ROUND(Maps!$D$5*Growth_Curve!$B$10/2,0)*2))</f>
        <v>14</v>
      </c>
      <c r="E10" s="3">
        <f t="shared" si="1"/>
        <v>308</v>
      </c>
      <c r="F10" s="3">
        <f t="shared" si="5"/>
        <v>92</v>
      </c>
      <c r="G10" s="3">
        <f>ROUND(C10/2,0)+Global_Params!$B$16</f>
        <v>13</v>
      </c>
      <c r="H10" s="3">
        <f>ROUND(D10/2,0)+Global_Params!$B$16</f>
        <v>9</v>
      </c>
      <c r="I10" s="14" t="s">
        <v>310</v>
      </c>
      <c r="J10" s="13">
        <f>ROUND(Global_Params!$B$17*(1+Global_Params!$B$18*(B10-1))*Maps!$H$5,0)</f>
        <v>190</v>
      </c>
      <c r="K10" s="3">
        <f t="shared" si="2"/>
        <v>144</v>
      </c>
      <c r="L10" s="3">
        <f>ROUND(J10*(Global_Params!$B$19+(Global_Params!$B$20-Global_Params!$B$19)*(B10-1)/(Global_Params!$B$7-1)),0)</f>
        <v>46</v>
      </c>
      <c r="M10" s="13">
        <f>ROUND(J10*IF(Maps!$G$5="Yes",Global_Params!$B$21,0),0)</f>
        <v>0</v>
      </c>
      <c r="N10" s="3">
        <f t="shared" si="3"/>
        <v>7</v>
      </c>
      <c r="O10" s="13">
        <f>MAX(1,MIN(Global_Params!$B$26,ROUND(F10/50,0)))</f>
        <v>2</v>
      </c>
      <c r="P10" s="3">
        <f t="shared" si="4"/>
        <v>4</v>
      </c>
      <c r="Q10" s="13">
        <f>ROUND(E10/100*Global_Params!$B$25,0)</f>
        <v>129</v>
      </c>
      <c r="R10" s="13" t="str">
        <f>Maps!$F$5</f>
        <v>Flowers</v>
      </c>
      <c r="S10" s="19">
        <f>Growth_Curve!$B$10</f>
        <v>0.89</v>
      </c>
      <c r="T10" s="13">
        <f>IF(B10&lt;Global_Params!$B$30,0,MAX(1,ROUND(E10/260,0)))</f>
        <v>1</v>
      </c>
      <c r="U10" s="3" t="str">
        <f>IF(T10=0,"-","L")</f>
        <v>L</v>
      </c>
      <c r="V10" s="13">
        <f>IF(T10=0,0,ROUND(C10/2*Global_Params!$B$31,0))</f>
        <v>9</v>
      </c>
      <c r="W10" s="13">
        <f>IF(T10=0,0,ROUND(D10/2*Global_Params!$B$31,0))</f>
        <v>6</v>
      </c>
      <c r="X10" s="13">
        <f>IF(T10=0,0,Global_Params!$B$32)</f>
        <v>4</v>
      </c>
      <c r="Y10" s="13">
        <f>T10*Global_Params!$B$33</f>
        <v>10</v>
      </c>
    </row>
    <row r="11">
      <c r="A11" s="3">
        <v>1.0</v>
      </c>
      <c r="B11" s="3">
        <v>7.0</v>
      </c>
      <c r="C11" s="13">
        <f>MIN(Maps!$C$5-2,MAX(C10+2,ROUND(Maps!$C$5*Growth_Curve!$B$11/2,0)*2))</f>
        <v>22</v>
      </c>
      <c r="D11" s="13">
        <f>MIN(Maps!$D$5,MAX(D10,ROUND(Maps!$D$5*Growth_Curve!$B$11/2,0)*2))</f>
        <v>16</v>
      </c>
      <c r="E11" s="3">
        <f t="shared" si="1"/>
        <v>352</v>
      </c>
      <c r="F11" s="3">
        <f t="shared" si="5"/>
        <v>44</v>
      </c>
      <c r="G11" s="3">
        <f>ROUND(C11/2,0)+Global_Params!$B$16</f>
        <v>13</v>
      </c>
      <c r="H11" s="3">
        <f>ROUND(D11/2,0)+Global_Params!$B$16</f>
        <v>10</v>
      </c>
      <c r="I11" s="14" t="s">
        <v>311</v>
      </c>
      <c r="J11" s="13">
        <f>ROUND(Global_Params!$B$17*(1+Global_Params!$B$18*(B11-1))*Maps!$H$5,0)</f>
        <v>208</v>
      </c>
      <c r="K11" s="3">
        <f t="shared" si="2"/>
        <v>152</v>
      </c>
      <c r="L11" s="3">
        <f>ROUND(J11*(Global_Params!$B$19+(Global_Params!$B$20-Global_Params!$B$19)*(B11-1)/(Global_Params!$B$7-1)),0)</f>
        <v>56</v>
      </c>
      <c r="M11" s="13">
        <f>ROUND(J11*IF(Maps!$G$5="Yes",Global_Params!$B$21,0),0)</f>
        <v>0</v>
      </c>
      <c r="N11" s="3">
        <f t="shared" si="3"/>
        <v>8</v>
      </c>
      <c r="O11" s="13">
        <f>MAX(1,MIN(Global_Params!$B$26,ROUND(F11/50,0)))</f>
        <v>1</v>
      </c>
      <c r="P11" s="3">
        <f t="shared" si="4"/>
        <v>5</v>
      </c>
      <c r="Q11" s="13">
        <f>ROUND(E11/100*Global_Params!$B$25,0)</f>
        <v>148</v>
      </c>
      <c r="R11" s="13" t="str">
        <f>Maps!$F$5</f>
        <v>Flowers</v>
      </c>
      <c r="S11" s="19">
        <f>Growth_Curve!$B$11</f>
        <v>0.96</v>
      </c>
      <c r="T11" s="13">
        <f>IF(B11&lt;Global_Params!$B$30,0,MAX(1,ROUND(E11/260,0)))</f>
        <v>1</v>
      </c>
      <c r="U11" s="3" t="str">
        <f>IF(T11=0,"-","B")</f>
        <v>B</v>
      </c>
      <c r="V11" s="13">
        <f>IF(T11=0,0,ROUND(C11/2*Global_Params!$B$31,0))</f>
        <v>9</v>
      </c>
      <c r="W11" s="13">
        <f>IF(T11=0,0,ROUND(D11/2*Global_Params!$B$31,0))</f>
        <v>6</v>
      </c>
      <c r="X11" s="13">
        <f>IF(T11=0,0,Global_Params!$B$32)</f>
        <v>4</v>
      </c>
      <c r="Y11" s="13">
        <f>T11*Global_Params!$B$33</f>
        <v>10</v>
      </c>
    </row>
    <row r="12">
      <c r="A12" s="3">
        <v>1.0</v>
      </c>
      <c r="B12" s="3">
        <v>8.0</v>
      </c>
      <c r="C12" s="13">
        <f>Maps!$C$5</f>
        <v>24</v>
      </c>
      <c r="D12" s="13">
        <f>Maps!$D$5</f>
        <v>16</v>
      </c>
      <c r="E12" s="3">
        <f t="shared" si="1"/>
        <v>384</v>
      </c>
      <c r="F12" s="3">
        <f t="shared" si="5"/>
        <v>32</v>
      </c>
      <c r="G12" s="3">
        <f>ROUND(C12/2,0)+Global_Params!$B$16</f>
        <v>14</v>
      </c>
      <c r="H12" s="3">
        <f>ROUND(D12/2,0)+Global_Params!$B$16</f>
        <v>10</v>
      </c>
      <c r="I12" s="14" t="s">
        <v>312</v>
      </c>
      <c r="J12" s="13">
        <f>ROUND(Global_Params!$B$17*(1+Global_Params!$B$18*(B12-1))*Maps!$H$5,0)</f>
        <v>226</v>
      </c>
      <c r="K12" s="3">
        <f t="shared" si="2"/>
        <v>158</v>
      </c>
      <c r="L12" s="3">
        <f>ROUND(J12*(Global_Params!$B$19+(Global_Params!$B$20-Global_Params!$B$19)*(B12-1)/(Global_Params!$B$7-1)),0)</f>
        <v>68</v>
      </c>
      <c r="M12" s="13">
        <f>ROUND(J12*IF(Maps!$G$5="Yes",Global_Params!$B$21,0),0)</f>
        <v>0</v>
      </c>
      <c r="N12" s="3">
        <f t="shared" si="3"/>
        <v>9</v>
      </c>
      <c r="O12" s="13">
        <f>MAX(1,MIN(Global_Params!$B$26,ROUND(F12/50,0)))</f>
        <v>1</v>
      </c>
      <c r="P12" s="3">
        <f t="shared" si="4"/>
        <v>5</v>
      </c>
      <c r="Q12" s="13">
        <f>ROUND(E12/100*Global_Params!$B$25,0)</f>
        <v>161</v>
      </c>
      <c r="R12" s="13" t="str">
        <f>Maps!$F$5</f>
        <v>Flowers</v>
      </c>
      <c r="S12" s="19">
        <f>Growth_Curve!$B$12</f>
        <v>1</v>
      </c>
      <c r="T12" s="13">
        <f>IF(B12&lt;Global_Params!$B$30,0,MAX(1,ROUND(E12/260,0)))</f>
        <v>1</v>
      </c>
      <c r="U12" s="3" t="str">
        <f>IF(T12=0,"-","T")</f>
        <v>T</v>
      </c>
      <c r="V12" s="13">
        <f>IF(T12=0,0,ROUND(C12/2*Global_Params!$B$31,0))</f>
        <v>10</v>
      </c>
      <c r="W12" s="13">
        <f>IF(T12=0,0,ROUND(D12/2*Global_Params!$B$31,0))</f>
        <v>6</v>
      </c>
      <c r="X12" s="13">
        <f>IF(T12=0,0,Global_Params!$B$32)</f>
        <v>4</v>
      </c>
      <c r="Y12" s="13">
        <f>T12*Global_Params!$B$33</f>
        <v>10</v>
      </c>
    </row>
    <row r="13">
      <c r="A13" s="20">
        <v>2.0</v>
      </c>
      <c r="B13" s="20">
        <v>1.0</v>
      </c>
      <c r="C13" s="21">
        <f>MIN(Maps!$C$6-2,ROUND(Maps!$C$6*Growth_Curve!$B$5/2,0)*2)</f>
        <v>12</v>
      </c>
      <c r="D13" s="21">
        <f>MIN(Maps!$D$6,ROUND(Maps!$D$6*Growth_Curve!$B$5/2,0)*2)</f>
        <v>8</v>
      </c>
      <c r="E13" s="20">
        <f t="shared" si="1"/>
        <v>96</v>
      </c>
      <c r="F13" s="20">
        <f>E13</f>
        <v>96</v>
      </c>
      <c r="G13" s="20">
        <f>ROUND(C13/2,0)+Global_Params!$B$16</f>
        <v>8</v>
      </c>
      <c r="H13" s="20">
        <f>ROUND(D13/2,0)+Global_Params!$B$16</f>
        <v>6</v>
      </c>
      <c r="I13" s="22" t="s">
        <v>310</v>
      </c>
      <c r="J13" s="21">
        <f>ROUND(Global_Params!$B$17*(1+Global_Params!$B$18*(B13-1))*Maps!$H$6,0)</f>
        <v>110</v>
      </c>
      <c r="K13" s="20">
        <f t="shared" si="2"/>
        <v>99</v>
      </c>
      <c r="L13" s="20">
        <f>ROUND(J13*(Global_Params!$B$19+(Global_Params!$B$20-Global_Params!$B$19)*(B13-1)/(Global_Params!$B$7-1)),0)</f>
        <v>11</v>
      </c>
      <c r="M13" s="21">
        <f>ROUND(J13*IF(Maps!$G$6="Yes",Global_Params!$B$21,0),0)</f>
        <v>0</v>
      </c>
      <c r="N13" s="20">
        <f t="shared" si="3"/>
        <v>2</v>
      </c>
      <c r="O13" s="20">
        <f>1</f>
        <v>1</v>
      </c>
      <c r="P13" s="20">
        <f t="shared" si="4"/>
        <v>1</v>
      </c>
      <c r="Q13" s="21">
        <f>ROUND(E13/100*Global_Params!$B$25,0)</f>
        <v>40</v>
      </c>
      <c r="R13" s="21" t="str">
        <f>Maps!$F$6</f>
        <v>Flowers</v>
      </c>
      <c r="S13" s="23">
        <f>Growth_Curve!$B$5</f>
        <v>0.4</v>
      </c>
      <c r="T13" s="21">
        <f>IF(B13&lt;Global_Params!$B$30,0,MAX(1,ROUND(E13/260,0)))</f>
        <v>0</v>
      </c>
      <c r="U13" s="20" t="str">
        <f>IF(T13=0,"-","L")</f>
        <v>-</v>
      </c>
      <c r="V13" s="21">
        <f>IF(T13=0,0,ROUND(C13/2*Global_Params!$B$31,0))</f>
        <v>0</v>
      </c>
      <c r="W13" s="21">
        <f>IF(T13=0,0,ROUND(D13/2*Global_Params!$B$31,0))</f>
        <v>0</v>
      </c>
      <c r="X13" s="21">
        <f>IF(T13=0,0,Global_Params!$B$32)</f>
        <v>0</v>
      </c>
      <c r="Y13" s="21">
        <f>T13*Global_Params!$B$33</f>
        <v>0</v>
      </c>
    </row>
    <row r="14">
      <c r="A14" s="20">
        <v>2.0</v>
      </c>
      <c r="B14" s="20">
        <v>2.0</v>
      </c>
      <c r="C14" s="21">
        <f>MIN(Maps!$C$6-2,MAX(C13+2,ROUND(Maps!$C$6*Growth_Curve!$B$6/2,0)*2))</f>
        <v>14</v>
      </c>
      <c r="D14" s="21">
        <f>MIN(Maps!$D$6,MAX(D13,ROUND(Maps!$D$6*Growth_Curve!$B$6/2,0)*2))</f>
        <v>8</v>
      </c>
      <c r="E14" s="20">
        <f t="shared" si="1"/>
        <v>112</v>
      </c>
      <c r="F14" s="20">
        <f t="shared" ref="F14:F20" si="6">E14-E13</f>
        <v>16</v>
      </c>
      <c r="G14" s="20">
        <f>ROUND(C14/2,0)+Global_Params!$B$16</f>
        <v>9</v>
      </c>
      <c r="H14" s="20">
        <f>ROUND(D14/2,0)+Global_Params!$B$16</f>
        <v>6</v>
      </c>
      <c r="I14" s="22" t="s">
        <v>309</v>
      </c>
      <c r="J14" s="21">
        <f>ROUND(Global_Params!$B$17*(1+Global_Params!$B$18*(B14-1))*Maps!$H$6,0)</f>
        <v>130</v>
      </c>
      <c r="K14" s="20">
        <f t="shared" si="2"/>
        <v>113</v>
      </c>
      <c r="L14" s="20">
        <f>ROUND(J14*(Global_Params!$B$19+(Global_Params!$B$20-Global_Params!$B$19)*(B14-1)/(Global_Params!$B$7-1)),0)</f>
        <v>17</v>
      </c>
      <c r="M14" s="21">
        <f>ROUND(J14*IF(Maps!$G$6="Yes",Global_Params!$B$21,0),0)</f>
        <v>0</v>
      </c>
      <c r="N14" s="20">
        <f t="shared" si="3"/>
        <v>2</v>
      </c>
      <c r="O14" s="21">
        <f>MAX(1,MIN(Global_Params!$B$26,ROUND(F14/50,0)))</f>
        <v>1</v>
      </c>
      <c r="P14" s="20">
        <f t="shared" si="4"/>
        <v>1</v>
      </c>
      <c r="Q14" s="21">
        <f>ROUND(E14/100*Global_Params!$B$25,0)</f>
        <v>47</v>
      </c>
      <c r="R14" s="21" t="str">
        <f>Maps!$F$6</f>
        <v>Flowers</v>
      </c>
      <c r="S14" s="23">
        <f>Growth_Curve!$B$6</f>
        <v>0.46</v>
      </c>
      <c r="T14" s="21">
        <f>IF(B14&lt;Global_Params!$B$30,0,MAX(1,ROUND(E14/260,0)))</f>
        <v>0</v>
      </c>
      <c r="U14" s="20" t="str">
        <f>IF(T14=0,"-","R")</f>
        <v>-</v>
      </c>
      <c r="V14" s="21">
        <f>IF(T14=0,0,ROUND(C14/2*Global_Params!$B$31,0))</f>
        <v>0</v>
      </c>
      <c r="W14" s="21">
        <f>IF(T14=0,0,ROUND(D14/2*Global_Params!$B$31,0))</f>
        <v>0</v>
      </c>
      <c r="X14" s="21">
        <f>IF(T14=0,0,Global_Params!$B$32)</f>
        <v>0</v>
      </c>
      <c r="Y14" s="21">
        <f>T14*Global_Params!$B$33</f>
        <v>0</v>
      </c>
    </row>
    <row r="15">
      <c r="A15" s="20">
        <v>2.0</v>
      </c>
      <c r="B15" s="20">
        <v>3.0</v>
      </c>
      <c r="C15" s="21">
        <f>MIN(Maps!$C$6-2,MAX(C14+2,ROUND(Maps!$C$6*Growth_Curve!$B$7/2,0)*2))</f>
        <v>16</v>
      </c>
      <c r="D15" s="21">
        <f>MIN(Maps!$D$6,MAX(D14,ROUND(Maps!$D$6*Growth_Curve!$B$7/2,0)*2))</f>
        <v>10</v>
      </c>
      <c r="E15" s="20">
        <f t="shared" si="1"/>
        <v>160</v>
      </c>
      <c r="F15" s="20">
        <f t="shared" si="6"/>
        <v>48</v>
      </c>
      <c r="G15" s="20">
        <f>ROUND(C15/2,0)+Global_Params!$B$16</f>
        <v>10</v>
      </c>
      <c r="H15" s="20">
        <f>ROUND(D15/2,0)+Global_Params!$B$16</f>
        <v>7</v>
      </c>
      <c r="I15" s="22" t="s">
        <v>310</v>
      </c>
      <c r="J15" s="21">
        <f>ROUND(Global_Params!$B$17*(1+Global_Params!$B$18*(B15-1))*Maps!$H$6,0)</f>
        <v>150</v>
      </c>
      <c r="K15" s="20">
        <f t="shared" si="2"/>
        <v>126</v>
      </c>
      <c r="L15" s="20">
        <f>ROUND(J15*(Global_Params!$B$19+(Global_Params!$B$20-Global_Params!$B$19)*(B15-1)/(Global_Params!$B$7-1)),0)</f>
        <v>24</v>
      </c>
      <c r="M15" s="21">
        <f>ROUND(J15*IF(Maps!$G$6="Yes",Global_Params!$B$21,0),0)</f>
        <v>0</v>
      </c>
      <c r="N15" s="20">
        <f t="shared" si="3"/>
        <v>4</v>
      </c>
      <c r="O15" s="21">
        <f>MAX(1,MIN(Global_Params!$B$26,ROUND(F15/50,0)))</f>
        <v>1</v>
      </c>
      <c r="P15" s="20">
        <f t="shared" si="4"/>
        <v>2</v>
      </c>
      <c r="Q15" s="21">
        <f>ROUND(E15/100*Global_Params!$B$25,0)</f>
        <v>67</v>
      </c>
      <c r="R15" s="21" t="str">
        <f>Maps!$F$6</f>
        <v>Flowers</v>
      </c>
      <c r="S15" s="23">
        <f>Growth_Curve!$B$7</f>
        <v>0.54</v>
      </c>
      <c r="T15" s="21">
        <f>IF(B15&lt;Global_Params!$B$30,0,MAX(1,ROUND(E15/260,0)))</f>
        <v>0</v>
      </c>
      <c r="U15" s="20" t="str">
        <f>IF(T15=0,"-","L")</f>
        <v>-</v>
      </c>
      <c r="V15" s="21">
        <f>IF(T15=0,0,ROUND(C15/2*Global_Params!$B$31,0))</f>
        <v>0</v>
      </c>
      <c r="W15" s="21">
        <f>IF(T15=0,0,ROUND(D15/2*Global_Params!$B$31,0))</f>
        <v>0</v>
      </c>
      <c r="X15" s="21">
        <f>IF(T15=0,0,Global_Params!$B$32)</f>
        <v>0</v>
      </c>
      <c r="Y15" s="21">
        <f>T15*Global_Params!$B$33</f>
        <v>0</v>
      </c>
    </row>
    <row r="16">
      <c r="A16" s="20">
        <v>2.0</v>
      </c>
      <c r="B16" s="20">
        <v>4.0</v>
      </c>
      <c r="C16" s="21">
        <f>MIN(Maps!$C$6-2,MAX(C15+2,ROUND(Maps!$C$6*Growth_Curve!$B$8/2,0)*2))</f>
        <v>20</v>
      </c>
      <c r="D16" s="21">
        <f>MIN(Maps!$D$6,MAX(D15,ROUND(Maps!$D$6*Growth_Curve!$B$8/2,0)*2))</f>
        <v>12</v>
      </c>
      <c r="E16" s="20">
        <f t="shared" si="1"/>
        <v>240</v>
      </c>
      <c r="F16" s="20">
        <f t="shared" si="6"/>
        <v>80</v>
      </c>
      <c r="G16" s="20">
        <f>ROUND(C16/2,0)+Global_Params!$B$16</f>
        <v>12</v>
      </c>
      <c r="H16" s="20">
        <f>ROUND(D16/2,0)+Global_Params!$B$16</f>
        <v>8</v>
      </c>
      <c r="I16" s="22" t="s">
        <v>309</v>
      </c>
      <c r="J16" s="21">
        <f>ROUND(Global_Params!$B$17*(1+Global_Params!$B$18*(B16-1))*Maps!$H$6,0)</f>
        <v>169</v>
      </c>
      <c r="K16" s="20">
        <f t="shared" si="2"/>
        <v>138</v>
      </c>
      <c r="L16" s="20">
        <f>ROUND(J16*(Global_Params!$B$19+(Global_Params!$B$20-Global_Params!$B$19)*(B16-1)/(Global_Params!$B$7-1)),0)</f>
        <v>31</v>
      </c>
      <c r="M16" s="21">
        <f>ROUND(J16*IF(Maps!$G$6="Yes",Global_Params!$B$21,0),0)</f>
        <v>0</v>
      </c>
      <c r="N16" s="20">
        <f t="shared" si="3"/>
        <v>5</v>
      </c>
      <c r="O16" s="21">
        <f>MAX(1,MIN(Global_Params!$B$26,ROUND(F16/50,0)))</f>
        <v>2</v>
      </c>
      <c r="P16" s="20">
        <f t="shared" si="4"/>
        <v>3</v>
      </c>
      <c r="Q16" s="21">
        <f>ROUND(E16/100*Global_Params!$B$25,0)</f>
        <v>101</v>
      </c>
      <c r="R16" s="21" t="str">
        <f>Maps!$F$6</f>
        <v>Flowers</v>
      </c>
      <c r="S16" s="23">
        <f>Growth_Curve!$B$8</f>
        <v>0.66</v>
      </c>
      <c r="T16" s="21">
        <f>IF(B16&lt;Global_Params!$B$30,0,MAX(1,ROUND(E16/260,0)))</f>
        <v>0</v>
      </c>
      <c r="U16" s="20" t="str">
        <f>IF(T16=0,"-","R")</f>
        <v>-</v>
      </c>
      <c r="V16" s="21">
        <f>IF(T16=0,0,ROUND(C16/2*Global_Params!$B$31,0))</f>
        <v>0</v>
      </c>
      <c r="W16" s="21">
        <f>IF(T16=0,0,ROUND(D16/2*Global_Params!$B$31,0))</f>
        <v>0</v>
      </c>
      <c r="X16" s="21">
        <f>IF(T16=0,0,Global_Params!$B$32)</f>
        <v>0</v>
      </c>
      <c r="Y16" s="21">
        <f>T16*Global_Params!$B$33</f>
        <v>0</v>
      </c>
    </row>
    <row r="17">
      <c r="A17" s="20">
        <v>2.0</v>
      </c>
      <c r="B17" s="20">
        <v>5.0</v>
      </c>
      <c r="C17" s="21">
        <f>MIN(Maps!$C$6-2,MAX(C16+2,ROUND(Maps!$C$6*Growth_Curve!$B$9/2,0)*2))</f>
        <v>24</v>
      </c>
      <c r="D17" s="21">
        <f>MIN(Maps!$D$6,MAX(D16,ROUND(Maps!$D$6*Growth_Curve!$B$9/2,0)*2))</f>
        <v>14</v>
      </c>
      <c r="E17" s="20">
        <f t="shared" si="1"/>
        <v>336</v>
      </c>
      <c r="F17" s="20">
        <f t="shared" si="6"/>
        <v>96</v>
      </c>
      <c r="G17" s="20">
        <f>ROUND(C17/2,0)+Global_Params!$B$16</f>
        <v>14</v>
      </c>
      <c r="H17" s="20">
        <f>ROUND(D17/2,0)+Global_Params!$B$16</f>
        <v>9</v>
      </c>
      <c r="I17" s="22" t="s">
        <v>310</v>
      </c>
      <c r="J17" s="21">
        <f>ROUND(Global_Params!$B$17*(1+Global_Params!$B$18*(B17-1))*Maps!$H$6,0)</f>
        <v>189</v>
      </c>
      <c r="K17" s="20">
        <f t="shared" si="2"/>
        <v>148</v>
      </c>
      <c r="L17" s="20">
        <f>ROUND(J17*(Global_Params!$B$19+(Global_Params!$B$20-Global_Params!$B$19)*(B17-1)/(Global_Params!$B$7-1)),0)</f>
        <v>41</v>
      </c>
      <c r="M17" s="21">
        <f>ROUND(J17*IF(Maps!$G$6="Yes",Global_Params!$B$21,0),0)</f>
        <v>0</v>
      </c>
      <c r="N17" s="20">
        <f t="shared" si="3"/>
        <v>7</v>
      </c>
      <c r="O17" s="21">
        <f>MAX(1,MIN(Global_Params!$B$26,ROUND(F17/50,0)))</f>
        <v>2</v>
      </c>
      <c r="P17" s="20">
        <f t="shared" si="4"/>
        <v>4</v>
      </c>
      <c r="Q17" s="21">
        <f>ROUND(E17/100*Global_Params!$B$25,0)</f>
        <v>141</v>
      </c>
      <c r="R17" s="21" t="str">
        <f>Maps!$F$6</f>
        <v>Flowers</v>
      </c>
      <c r="S17" s="23">
        <f>Growth_Curve!$B$9</f>
        <v>0.79</v>
      </c>
      <c r="T17" s="21">
        <f>IF(B17&lt;Global_Params!$B$30,0,MAX(1,ROUND(E17/260,0)))</f>
        <v>1</v>
      </c>
      <c r="U17" s="20" t="str">
        <f>IF(T17=0,"-","L")</f>
        <v>L</v>
      </c>
      <c r="V17" s="21">
        <f>IF(T17=0,0,ROUND(C17/2*Global_Params!$B$31,0))</f>
        <v>10</v>
      </c>
      <c r="W17" s="21">
        <f>IF(T17=0,0,ROUND(D17/2*Global_Params!$B$31,0))</f>
        <v>6</v>
      </c>
      <c r="X17" s="21">
        <f>IF(T17=0,0,Global_Params!$B$32)</f>
        <v>4</v>
      </c>
      <c r="Y17" s="21">
        <f>T17*Global_Params!$B$33</f>
        <v>10</v>
      </c>
    </row>
    <row r="18">
      <c r="A18" s="20">
        <v>2.0</v>
      </c>
      <c r="B18" s="20">
        <v>6.0</v>
      </c>
      <c r="C18" s="21">
        <f>MIN(Maps!$C$6-2,MAX(C17+2,ROUND(Maps!$C$6*Growth_Curve!$B$10/2,0)*2))</f>
        <v>26</v>
      </c>
      <c r="D18" s="21">
        <f>MIN(Maps!$D$6,MAX(D17,ROUND(Maps!$D$6*Growth_Curve!$B$10/2,0)*2))</f>
        <v>16</v>
      </c>
      <c r="E18" s="20">
        <f t="shared" si="1"/>
        <v>416</v>
      </c>
      <c r="F18" s="20">
        <f t="shared" si="6"/>
        <v>80</v>
      </c>
      <c r="G18" s="20">
        <f>ROUND(C18/2,0)+Global_Params!$B$16</f>
        <v>15</v>
      </c>
      <c r="H18" s="20">
        <f>ROUND(D18/2,0)+Global_Params!$B$16</f>
        <v>10</v>
      </c>
      <c r="I18" s="22" t="s">
        <v>311</v>
      </c>
      <c r="J18" s="21">
        <f>ROUND(Global_Params!$B$17*(1+Global_Params!$B$18*(B18-1))*Maps!$H$6,0)</f>
        <v>209</v>
      </c>
      <c r="K18" s="20">
        <f t="shared" si="2"/>
        <v>158</v>
      </c>
      <c r="L18" s="20">
        <f>ROUND(J18*(Global_Params!$B$19+(Global_Params!$B$20-Global_Params!$B$19)*(B18-1)/(Global_Params!$B$7-1)),0)</f>
        <v>51</v>
      </c>
      <c r="M18" s="21">
        <f>ROUND(J18*IF(Maps!$G$6="Yes",Global_Params!$B$21,0),0)</f>
        <v>0</v>
      </c>
      <c r="N18" s="20">
        <f t="shared" si="3"/>
        <v>9</v>
      </c>
      <c r="O18" s="21">
        <f>MAX(1,MIN(Global_Params!$B$26,ROUND(F18/50,0)))</f>
        <v>2</v>
      </c>
      <c r="P18" s="20">
        <f t="shared" si="4"/>
        <v>5</v>
      </c>
      <c r="Q18" s="21">
        <f>ROUND(E18/100*Global_Params!$B$25,0)</f>
        <v>175</v>
      </c>
      <c r="R18" s="21" t="str">
        <f>Maps!$F$6</f>
        <v>Flowers</v>
      </c>
      <c r="S18" s="23">
        <f>Growth_Curve!$B$10</f>
        <v>0.89</v>
      </c>
      <c r="T18" s="21">
        <f>IF(B18&lt;Global_Params!$B$30,0,MAX(1,ROUND(E18/260,0)))</f>
        <v>2</v>
      </c>
      <c r="U18" s="20" t="str">
        <f>IF(T18=0,"-","B")</f>
        <v>B</v>
      </c>
      <c r="V18" s="21">
        <f>IF(T18=0,0,ROUND(C18/2*Global_Params!$B$31,0))</f>
        <v>10</v>
      </c>
      <c r="W18" s="21">
        <f>IF(T18=0,0,ROUND(D18/2*Global_Params!$B$31,0))</f>
        <v>6</v>
      </c>
      <c r="X18" s="21">
        <f>IF(T18=0,0,Global_Params!$B$32)</f>
        <v>4</v>
      </c>
      <c r="Y18" s="21">
        <f>T18*Global_Params!$B$33</f>
        <v>20</v>
      </c>
    </row>
    <row r="19">
      <c r="A19" s="20">
        <v>2.0</v>
      </c>
      <c r="B19" s="20">
        <v>7.0</v>
      </c>
      <c r="C19" s="21">
        <f>MIN(Maps!$C$6-2,MAX(C18+2,ROUND(Maps!$C$6*Growth_Curve!$B$11/2,0)*2))</f>
        <v>28</v>
      </c>
      <c r="D19" s="21">
        <f>MIN(Maps!$D$6,MAX(D18,ROUND(Maps!$D$6*Growth_Curve!$B$11/2,0)*2))</f>
        <v>18</v>
      </c>
      <c r="E19" s="20">
        <f t="shared" si="1"/>
        <v>504</v>
      </c>
      <c r="F19" s="20">
        <f t="shared" si="6"/>
        <v>88</v>
      </c>
      <c r="G19" s="20">
        <f>ROUND(C19/2,0)+Global_Params!$B$16</f>
        <v>16</v>
      </c>
      <c r="H19" s="20">
        <f>ROUND(D19/2,0)+Global_Params!$B$16</f>
        <v>11</v>
      </c>
      <c r="I19" s="22" t="s">
        <v>312</v>
      </c>
      <c r="J19" s="21">
        <f>ROUND(Global_Params!$B$17*(1+Global_Params!$B$18*(B19-1))*Maps!$H$6,0)</f>
        <v>229</v>
      </c>
      <c r="K19" s="20">
        <f t="shared" si="2"/>
        <v>167</v>
      </c>
      <c r="L19" s="20">
        <f>ROUND(J19*(Global_Params!$B$19+(Global_Params!$B$20-Global_Params!$B$19)*(B19-1)/(Global_Params!$B$7-1)),0)</f>
        <v>62</v>
      </c>
      <c r="M19" s="21">
        <f>ROUND(J19*IF(Maps!$G$6="Yes",Global_Params!$B$21,0),0)</f>
        <v>0</v>
      </c>
      <c r="N19" s="20">
        <f t="shared" si="3"/>
        <v>11</v>
      </c>
      <c r="O19" s="21">
        <f>MAX(1,MIN(Global_Params!$B$26,ROUND(F19/50,0)))</f>
        <v>2</v>
      </c>
      <c r="P19" s="20">
        <f t="shared" si="4"/>
        <v>7</v>
      </c>
      <c r="Q19" s="21">
        <f>ROUND(E19/100*Global_Params!$B$25,0)</f>
        <v>212</v>
      </c>
      <c r="R19" s="21" t="str">
        <f>Maps!$F$6</f>
        <v>Flowers</v>
      </c>
      <c r="S19" s="23">
        <f>Growth_Curve!$B$11</f>
        <v>0.96</v>
      </c>
      <c r="T19" s="21">
        <f>IF(B19&lt;Global_Params!$B$30,0,MAX(1,ROUND(E19/260,0)))</f>
        <v>2</v>
      </c>
      <c r="U19" s="20" t="str">
        <f>IF(T19=0,"-","T")</f>
        <v>T</v>
      </c>
      <c r="V19" s="21">
        <f>IF(T19=0,0,ROUND(C19/2*Global_Params!$B$31,0))</f>
        <v>11</v>
      </c>
      <c r="W19" s="21">
        <f>IF(T19=0,0,ROUND(D19/2*Global_Params!$B$31,0))</f>
        <v>7</v>
      </c>
      <c r="X19" s="21">
        <f>IF(T19=0,0,Global_Params!$B$32)</f>
        <v>4</v>
      </c>
      <c r="Y19" s="21">
        <f>T19*Global_Params!$B$33</f>
        <v>20</v>
      </c>
    </row>
    <row r="20">
      <c r="A20" s="20">
        <v>2.0</v>
      </c>
      <c r="B20" s="20">
        <v>8.0</v>
      </c>
      <c r="C20" s="21">
        <f>Maps!$C$6</f>
        <v>30</v>
      </c>
      <c r="D20" s="21">
        <f>Maps!$D$6</f>
        <v>18</v>
      </c>
      <c r="E20" s="20">
        <f t="shared" si="1"/>
        <v>540</v>
      </c>
      <c r="F20" s="20">
        <f t="shared" si="6"/>
        <v>36</v>
      </c>
      <c r="G20" s="20">
        <f>ROUND(C20/2,0)+Global_Params!$B$16</f>
        <v>17</v>
      </c>
      <c r="H20" s="20">
        <f>ROUND(D20/2,0)+Global_Params!$B$16</f>
        <v>11</v>
      </c>
      <c r="I20" s="22" t="s">
        <v>309</v>
      </c>
      <c r="J20" s="21">
        <f>ROUND(Global_Params!$B$17*(1+Global_Params!$B$18*(B20-1))*Maps!$H$6,0)</f>
        <v>249</v>
      </c>
      <c r="K20" s="20">
        <f t="shared" si="2"/>
        <v>174</v>
      </c>
      <c r="L20" s="20">
        <f>ROUND(J20*(Global_Params!$B$19+(Global_Params!$B$20-Global_Params!$B$19)*(B20-1)/(Global_Params!$B$7-1)),0)</f>
        <v>75</v>
      </c>
      <c r="M20" s="21">
        <f>ROUND(J20*IF(Maps!$G$6="Yes",Global_Params!$B$21,0),0)</f>
        <v>0</v>
      </c>
      <c r="N20" s="20">
        <f t="shared" si="3"/>
        <v>12</v>
      </c>
      <c r="O20" s="21">
        <f>MAX(1,MIN(Global_Params!$B$26,ROUND(F20/50,0)))</f>
        <v>1</v>
      </c>
      <c r="P20" s="20">
        <f t="shared" si="4"/>
        <v>7</v>
      </c>
      <c r="Q20" s="21">
        <f>ROUND(E20/100*Global_Params!$B$25,0)</f>
        <v>227</v>
      </c>
      <c r="R20" s="21" t="str">
        <f>Maps!$F$6</f>
        <v>Flowers</v>
      </c>
      <c r="S20" s="23">
        <f>Growth_Curve!$B$12</f>
        <v>1</v>
      </c>
      <c r="T20" s="21">
        <f>IF(B20&lt;Global_Params!$B$30,0,MAX(1,ROUND(E20/260,0)))</f>
        <v>2</v>
      </c>
      <c r="U20" s="20" t="str">
        <f t="shared" ref="U20:U21" si="7">IF(T20=0,"-","R")</f>
        <v>R</v>
      </c>
      <c r="V20" s="21">
        <f>IF(T20=0,0,ROUND(C20/2*Global_Params!$B$31,0))</f>
        <v>12</v>
      </c>
      <c r="W20" s="21">
        <f>IF(T20=0,0,ROUND(D20/2*Global_Params!$B$31,0))</f>
        <v>7</v>
      </c>
      <c r="X20" s="21">
        <f>IF(T20=0,0,Global_Params!$B$32)</f>
        <v>4</v>
      </c>
      <c r="Y20" s="21">
        <f>T20*Global_Params!$B$33</f>
        <v>20</v>
      </c>
    </row>
    <row r="21" ht="15.75" customHeight="1">
      <c r="A21" s="3">
        <v>3.0</v>
      </c>
      <c r="B21" s="3">
        <v>1.0</v>
      </c>
      <c r="C21" s="13">
        <f>MIN(Maps!$C$7-2,ROUND(Maps!$C$7*Growth_Curve!$B$5/2,0)*2)</f>
        <v>14</v>
      </c>
      <c r="D21" s="13">
        <f>MIN(Maps!$D$7,ROUND(Maps!$D$7*Growth_Curve!$B$5/2,0)*2)</f>
        <v>8</v>
      </c>
      <c r="E21" s="3">
        <f t="shared" si="1"/>
        <v>112</v>
      </c>
      <c r="F21" s="3">
        <f>E21</f>
        <v>112</v>
      </c>
      <c r="G21" s="3">
        <f>ROUND(C21/2,0)+Global_Params!$B$16</f>
        <v>9</v>
      </c>
      <c r="H21" s="3">
        <f>ROUND(D21/2,0)+Global_Params!$B$16</f>
        <v>6</v>
      </c>
      <c r="I21" s="14" t="s">
        <v>309</v>
      </c>
      <c r="J21" s="13">
        <f>ROUND(Global_Params!$B$17*(1+Global_Params!$B$18*(B21-1))*Maps!$H$7,0)</f>
        <v>120</v>
      </c>
      <c r="K21" s="3">
        <f t="shared" si="2"/>
        <v>90</v>
      </c>
      <c r="L21" s="3">
        <f>ROUND(J21*(Global_Params!$B$19+(Global_Params!$B$20-Global_Params!$B$19)*(B21-1)/(Global_Params!$B$7-1)),0)</f>
        <v>12</v>
      </c>
      <c r="M21" s="13">
        <f>ROUND(J21*IF(Maps!$G$7="Yes",Global_Params!$B$21,0),0)</f>
        <v>18</v>
      </c>
      <c r="N21" s="3">
        <f t="shared" si="3"/>
        <v>2</v>
      </c>
      <c r="O21" s="3">
        <f>1</f>
        <v>1</v>
      </c>
      <c r="P21" s="3">
        <f t="shared" si="4"/>
        <v>1</v>
      </c>
      <c r="Q21" s="13">
        <f>ROUND(E21/100*Global_Params!$B$25,0)</f>
        <v>47</v>
      </c>
      <c r="R21" s="13" t="str">
        <f>Maps!$F$7</f>
        <v>Minerals</v>
      </c>
      <c r="S21" s="19">
        <f>Growth_Curve!$B$5</f>
        <v>0.4</v>
      </c>
      <c r="T21" s="13">
        <f>IF(B21&lt;Global_Params!$B$30,0,MAX(1,ROUND(E21/260,0)))</f>
        <v>0</v>
      </c>
      <c r="U21" s="3" t="str">
        <f t="shared" si="7"/>
        <v>-</v>
      </c>
      <c r="V21" s="13">
        <f>IF(T21=0,0,ROUND(C21/2*Global_Params!$B$31,0))</f>
        <v>0</v>
      </c>
      <c r="W21" s="13">
        <f>IF(T21=0,0,ROUND(D21/2*Global_Params!$B$31,0))</f>
        <v>0</v>
      </c>
      <c r="X21" s="13">
        <f>IF(T21=0,0,Global_Params!$B$32)</f>
        <v>0</v>
      </c>
      <c r="Y21" s="13">
        <f>T21*Global_Params!$B$33</f>
        <v>0</v>
      </c>
    </row>
    <row r="22" ht="15.75" customHeight="1">
      <c r="A22" s="3">
        <v>3.0</v>
      </c>
      <c r="B22" s="3">
        <v>2.0</v>
      </c>
      <c r="C22" s="13">
        <f>MIN(Maps!$C$7-2,MAX(C21+2,ROUND(Maps!$C$7*Growth_Curve!$B$6/2,0)*2))</f>
        <v>16</v>
      </c>
      <c r="D22" s="13">
        <f>MIN(Maps!$D$7,MAX(D21,ROUND(Maps!$D$7*Growth_Curve!$B$6/2,0)*2))</f>
        <v>10</v>
      </c>
      <c r="E22" s="3">
        <f t="shared" si="1"/>
        <v>160</v>
      </c>
      <c r="F22" s="3">
        <f t="shared" ref="F22:F28" si="8">E22-E21</f>
        <v>48</v>
      </c>
      <c r="G22" s="3">
        <f>ROUND(C22/2,0)+Global_Params!$B$16</f>
        <v>10</v>
      </c>
      <c r="H22" s="3">
        <f>ROUND(D22/2,0)+Global_Params!$B$16</f>
        <v>7</v>
      </c>
      <c r="I22" s="14" t="s">
        <v>310</v>
      </c>
      <c r="J22" s="13">
        <f>ROUND(Global_Params!$B$17*(1+Global_Params!$B$18*(B22-1))*Maps!$H$7,0)</f>
        <v>142</v>
      </c>
      <c r="K22" s="3">
        <f t="shared" si="2"/>
        <v>103</v>
      </c>
      <c r="L22" s="3">
        <f>ROUND(J22*(Global_Params!$B$19+(Global_Params!$B$20-Global_Params!$B$19)*(B22-1)/(Global_Params!$B$7-1)),0)</f>
        <v>18</v>
      </c>
      <c r="M22" s="13">
        <f>ROUND(J22*IF(Maps!$G$7="Yes",Global_Params!$B$21,0),0)</f>
        <v>21</v>
      </c>
      <c r="N22" s="3">
        <f t="shared" si="3"/>
        <v>4</v>
      </c>
      <c r="O22" s="13">
        <f>MAX(1,MIN(Global_Params!$B$26,ROUND(F22/50,0)))</f>
        <v>1</v>
      </c>
      <c r="P22" s="3">
        <f t="shared" si="4"/>
        <v>2</v>
      </c>
      <c r="Q22" s="13">
        <f>ROUND(E22/100*Global_Params!$B$25,0)</f>
        <v>67</v>
      </c>
      <c r="R22" s="13" t="str">
        <f>Maps!$F$7</f>
        <v>Minerals</v>
      </c>
      <c r="S22" s="19">
        <f>Growth_Curve!$B$6</f>
        <v>0.46</v>
      </c>
      <c r="T22" s="13">
        <f>IF(B22&lt;Global_Params!$B$30,0,MAX(1,ROUND(E22/260,0)))</f>
        <v>0</v>
      </c>
      <c r="U22" s="3" t="str">
        <f>IF(T22=0,"-","L")</f>
        <v>-</v>
      </c>
      <c r="V22" s="13">
        <f>IF(T22=0,0,ROUND(C22/2*Global_Params!$B$31,0))</f>
        <v>0</v>
      </c>
      <c r="W22" s="13">
        <f>IF(T22=0,0,ROUND(D22/2*Global_Params!$B$31,0))</f>
        <v>0</v>
      </c>
      <c r="X22" s="13">
        <f>IF(T22=0,0,Global_Params!$B$32)</f>
        <v>0</v>
      </c>
      <c r="Y22" s="13">
        <f>T22*Global_Params!$B$33</f>
        <v>0</v>
      </c>
    </row>
    <row r="23" ht="15.75" customHeight="1">
      <c r="A23" s="3">
        <v>3.0</v>
      </c>
      <c r="B23" s="3">
        <v>3.0</v>
      </c>
      <c r="C23" s="13">
        <f>MIN(Maps!$C$7-2,MAX(C22+2,ROUND(Maps!$C$7*Growth_Curve!$B$7/2,0)*2))</f>
        <v>18</v>
      </c>
      <c r="D23" s="13">
        <f>MIN(Maps!$D$7,MAX(D22,ROUND(Maps!$D$7*Growth_Curve!$B$7/2,0)*2))</f>
        <v>10</v>
      </c>
      <c r="E23" s="3">
        <f t="shared" si="1"/>
        <v>180</v>
      </c>
      <c r="F23" s="3">
        <f t="shared" si="8"/>
        <v>20</v>
      </c>
      <c r="G23" s="3">
        <f>ROUND(C23/2,0)+Global_Params!$B$16</f>
        <v>11</v>
      </c>
      <c r="H23" s="3">
        <f>ROUND(D23/2,0)+Global_Params!$B$16</f>
        <v>7</v>
      </c>
      <c r="I23" s="14" t="s">
        <v>309</v>
      </c>
      <c r="J23" s="13">
        <f>ROUND(Global_Params!$B$17*(1+Global_Params!$B$18*(B23-1))*Maps!$H$7,0)</f>
        <v>163</v>
      </c>
      <c r="K23" s="3">
        <f t="shared" si="2"/>
        <v>113</v>
      </c>
      <c r="L23" s="3">
        <f>ROUND(J23*(Global_Params!$B$19+(Global_Params!$B$20-Global_Params!$B$19)*(B23-1)/(Global_Params!$B$7-1)),0)</f>
        <v>26</v>
      </c>
      <c r="M23" s="13">
        <f>ROUND(J23*IF(Maps!$G$7="Yes",Global_Params!$B$21,0),0)</f>
        <v>24</v>
      </c>
      <c r="N23" s="3">
        <f t="shared" si="3"/>
        <v>4</v>
      </c>
      <c r="O23" s="13">
        <f>MAX(1,MIN(Global_Params!$B$26,ROUND(F23/50,0)))</f>
        <v>1</v>
      </c>
      <c r="P23" s="3">
        <f t="shared" si="4"/>
        <v>2</v>
      </c>
      <c r="Q23" s="13">
        <f>ROUND(E23/100*Global_Params!$B$25,0)</f>
        <v>76</v>
      </c>
      <c r="R23" s="13" t="str">
        <f>Maps!$F$7</f>
        <v>Minerals</v>
      </c>
      <c r="S23" s="19">
        <f>Growth_Curve!$B$7</f>
        <v>0.54</v>
      </c>
      <c r="T23" s="13">
        <f>IF(B23&lt;Global_Params!$B$30,0,MAX(1,ROUND(E23/260,0)))</f>
        <v>0</v>
      </c>
      <c r="U23" s="3" t="str">
        <f>IF(T23=0,"-","R")</f>
        <v>-</v>
      </c>
      <c r="V23" s="13">
        <f>IF(T23=0,0,ROUND(C23/2*Global_Params!$B$31,0))</f>
        <v>0</v>
      </c>
      <c r="W23" s="13">
        <f>IF(T23=0,0,ROUND(D23/2*Global_Params!$B$31,0))</f>
        <v>0</v>
      </c>
      <c r="X23" s="13">
        <f>IF(T23=0,0,Global_Params!$B$32)</f>
        <v>0</v>
      </c>
      <c r="Y23" s="13">
        <f>T23*Global_Params!$B$33</f>
        <v>0</v>
      </c>
    </row>
    <row r="24" ht="15.75" customHeight="1">
      <c r="A24" s="3">
        <v>3.0</v>
      </c>
      <c r="B24" s="3">
        <v>4.0</v>
      </c>
      <c r="C24" s="13">
        <f>MIN(Maps!$C$7-2,MAX(C23+2,ROUND(Maps!$C$7*Growth_Curve!$B$8/2,0)*2))</f>
        <v>22</v>
      </c>
      <c r="D24" s="13">
        <f>MIN(Maps!$D$7,MAX(D23,ROUND(Maps!$D$7*Growth_Curve!$B$8/2,0)*2))</f>
        <v>14</v>
      </c>
      <c r="E24" s="3">
        <f t="shared" si="1"/>
        <v>308</v>
      </c>
      <c r="F24" s="3">
        <f t="shared" si="8"/>
        <v>128</v>
      </c>
      <c r="G24" s="3">
        <f>ROUND(C24/2,0)+Global_Params!$B$16</f>
        <v>13</v>
      </c>
      <c r="H24" s="3">
        <f>ROUND(D24/2,0)+Global_Params!$B$16</f>
        <v>9</v>
      </c>
      <c r="I24" s="14" t="s">
        <v>310</v>
      </c>
      <c r="J24" s="13">
        <f>ROUND(Global_Params!$B$17*(1+Global_Params!$B$18*(B24-1))*Maps!$H$7,0)</f>
        <v>185</v>
      </c>
      <c r="K24" s="3">
        <f t="shared" si="2"/>
        <v>123</v>
      </c>
      <c r="L24" s="3">
        <f>ROUND(J24*(Global_Params!$B$19+(Global_Params!$B$20-Global_Params!$B$19)*(B24-1)/(Global_Params!$B$7-1)),0)</f>
        <v>34</v>
      </c>
      <c r="M24" s="13">
        <f>ROUND(J24*IF(Maps!$G$7="Yes",Global_Params!$B$21,0),0)</f>
        <v>28</v>
      </c>
      <c r="N24" s="3">
        <f t="shared" si="3"/>
        <v>7</v>
      </c>
      <c r="O24" s="13">
        <f>MAX(1,MIN(Global_Params!$B$26,ROUND(F24/50,0)))</f>
        <v>3</v>
      </c>
      <c r="P24" s="3">
        <f t="shared" si="4"/>
        <v>4</v>
      </c>
      <c r="Q24" s="13">
        <f>ROUND(E24/100*Global_Params!$B$25,0)</f>
        <v>129</v>
      </c>
      <c r="R24" s="13" t="str">
        <f>Maps!$F$7</f>
        <v>Minerals</v>
      </c>
      <c r="S24" s="19">
        <f>Growth_Curve!$B$8</f>
        <v>0.66</v>
      </c>
      <c r="T24" s="13">
        <f>IF(B24&lt;Global_Params!$B$30,0,MAX(1,ROUND(E24/260,0)))</f>
        <v>0</v>
      </c>
      <c r="U24" s="3" t="str">
        <f>IF(T24=0,"-","L")</f>
        <v>-</v>
      </c>
      <c r="V24" s="13">
        <f>IF(T24=0,0,ROUND(C24/2*Global_Params!$B$31,0))</f>
        <v>0</v>
      </c>
      <c r="W24" s="13">
        <f>IF(T24=0,0,ROUND(D24/2*Global_Params!$B$31,0))</f>
        <v>0</v>
      </c>
      <c r="X24" s="13">
        <f>IF(T24=0,0,Global_Params!$B$32)</f>
        <v>0</v>
      </c>
      <c r="Y24" s="13">
        <f>T24*Global_Params!$B$33</f>
        <v>0</v>
      </c>
    </row>
    <row r="25" ht="15.75" customHeight="1">
      <c r="A25" s="3">
        <v>3.0</v>
      </c>
      <c r="B25" s="3">
        <v>5.0</v>
      </c>
      <c r="C25" s="13">
        <f>MIN(Maps!$C$7-2,MAX(C24+2,ROUND(Maps!$C$7*Growth_Curve!$B$9/2,0)*2))</f>
        <v>26</v>
      </c>
      <c r="D25" s="13">
        <f>MIN(Maps!$D$7,MAX(D24,ROUND(Maps!$D$7*Growth_Curve!$B$9/2,0)*2))</f>
        <v>16</v>
      </c>
      <c r="E25" s="3">
        <f t="shared" si="1"/>
        <v>416</v>
      </c>
      <c r="F25" s="3">
        <f t="shared" si="8"/>
        <v>108</v>
      </c>
      <c r="G25" s="3">
        <f>ROUND(C25/2,0)+Global_Params!$B$16</f>
        <v>15</v>
      </c>
      <c r="H25" s="3">
        <f>ROUND(D25/2,0)+Global_Params!$B$16</f>
        <v>10</v>
      </c>
      <c r="I25" s="14" t="s">
        <v>311</v>
      </c>
      <c r="J25" s="13">
        <f>ROUND(Global_Params!$B$17*(1+Global_Params!$B$18*(B25-1))*Maps!$H$7,0)</f>
        <v>206</v>
      </c>
      <c r="K25" s="3">
        <f t="shared" si="2"/>
        <v>131</v>
      </c>
      <c r="L25" s="3">
        <f>ROUND(J25*(Global_Params!$B$19+(Global_Params!$B$20-Global_Params!$B$19)*(B25-1)/(Global_Params!$B$7-1)),0)</f>
        <v>44</v>
      </c>
      <c r="M25" s="13">
        <f>ROUND(J25*IF(Maps!$G$7="Yes",Global_Params!$B$21,0),0)</f>
        <v>31</v>
      </c>
      <c r="N25" s="3">
        <f t="shared" si="3"/>
        <v>9</v>
      </c>
      <c r="O25" s="13">
        <f>MAX(1,MIN(Global_Params!$B$26,ROUND(F25/50,0)))</f>
        <v>2</v>
      </c>
      <c r="P25" s="3">
        <f t="shared" si="4"/>
        <v>5</v>
      </c>
      <c r="Q25" s="13">
        <f>ROUND(E25/100*Global_Params!$B$25,0)</f>
        <v>175</v>
      </c>
      <c r="R25" s="13" t="str">
        <f>Maps!$F$7</f>
        <v>Minerals</v>
      </c>
      <c r="S25" s="19">
        <f>Growth_Curve!$B$9</f>
        <v>0.79</v>
      </c>
      <c r="T25" s="13">
        <f>IF(B25&lt;Global_Params!$B$30,0,MAX(1,ROUND(E25/260,0)))</f>
        <v>2</v>
      </c>
      <c r="U25" s="3" t="str">
        <f>IF(T25=0,"-","B")</f>
        <v>B</v>
      </c>
      <c r="V25" s="13">
        <f>IF(T25=0,0,ROUND(C25/2*Global_Params!$B$31,0))</f>
        <v>10</v>
      </c>
      <c r="W25" s="13">
        <f>IF(T25=0,0,ROUND(D25/2*Global_Params!$B$31,0))</f>
        <v>6</v>
      </c>
      <c r="X25" s="13">
        <f>IF(T25=0,0,Global_Params!$B$32)</f>
        <v>4</v>
      </c>
      <c r="Y25" s="13">
        <f>T25*Global_Params!$B$33</f>
        <v>20</v>
      </c>
    </row>
    <row r="26" ht="15.75" customHeight="1">
      <c r="A26" s="3">
        <v>3.0</v>
      </c>
      <c r="B26" s="3">
        <v>6.0</v>
      </c>
      <c r="C26" s="13">
        <f>MIN(Maps!$C$7-2,MAX(C25+2,ROUND(Maps!$C$7*Growth_Curve!$B$10/2,0)*2))</f>
        <v>30</v>
      </c>
      <c r="D26" s="13">
        <f>MIN(Maps!$D$7,MAX(D25,ROUND(Maps!$D$7*Growth_Curve!$B$10/2,0)*2))</f>
        <v>18</v>
      </c>
      <c r="E26" s="3">
        <f t="shared" si="1"/>
        <v>540</v>
      </c>
      <c r="F26" s="3">
        <f t="shared" si="8"/>
        <v>124</v>
      </c>
      <c r="G26" s="3">
        <f>ROUND(C26/2,0)+Global_Params!$B$16</f>
        <v>17</v>
      </c>
      <c r="H26" s="3">
        <f>ROUND(D26/2,0)+Global_Params!$B$16</f>
        <v>11</v>
      </c>
      <c r="I26" s="14" t="s">
        <v>312</v>
      </c>
      <c r="J26" s="13">
        <f>ROUND(Global_Params!$B$17*(1+Global_Params!$B$18*(B26-1))*Maps!$H$7,0)</f>
        <v>228</v>
      </c>
      <c r="K26" s="3">
        <f t="shared" si="2"/>
        <v>139</v>
      </c>
      <c r="L26" s="3">
        <f>ROUND(J26*(Global_Params!$B$19+(Global_Params!$B$20-Global_Params!$B$19)*(B26-1)/(Global_Params!$B$7-1)),0)</f>
        <v>55</v>
      </c>
      <c r="M26" s="13">
        <f>ROUND(J26*IF(Maps!$G$7="Yes",Global_Params!$B$21,0),0)</f>
        <v>34</v>
      </c>
      <c r="N26" s="3">
        <f t="shared" si="3"/>
        <v>12</v>
      </c>
      <c r="O26" s="13">
        <f>MAX(1,MIN(Global_Params!$B$26,ROUND(F26/50,0)))</f>
        <v>2</v>
      </c>
      <c r="P26" s="3">
        <f t="shared" si="4"/>
        <v>7</v>
      </c>
      <c r="Q26" s="13">
        <f>ROUND(E26/100*Global_Params!$B$25,0)</f>
        <v>227</v>
      </c>
      <c r="R26" s="13" t="str">
        <f>Maps!$F$7</f>
        <v>Minerals</v>
      </c>
      <c r="S26" s="19">
        <f>Growth_Curve!$B$10</f>
        <v>0.89</v>
      </c>
      <c r="T26" s="13">
        <f>IF(B26&lt;Global_Params!$B$30,0,MAX(1,ROUND(E26/260,0)))</f>
        <v>2</v>
      </c>
      <c r="U26" s="3" t="str">
        <f>IF(T26=0,"-","T")</f>
        <v>T</v>
      </c>
      <c r="V26" s="13">
        <f>IF(T26=0,0,ROUND(C26/2*Global_Params!$B$31,0))</f>
        <v>12</v>
      </c>
      <c r="W26" s="13">
        <f>IF(T26=0,0,ROUND(D26/2*Global_Params!$B$31,0))</f>
        <v>7</v>
      </c>
      <c r="X26" s="13">
        <f>IF(T26=0,0,Global_Params!$B$32)</f>
        <v>4</v>
      </c>
      <c r="Y26" s="13">
        <f>T26*Global_Params!$B$33</f>
        <v>20</v>
      </c>
    </row>
    <row r="27" ht="15.75" customHeight="1">
      <c r="A27" s="3">
        <v>3.0</v>
      </c>
      <c r="B27" s="3">
        <v>7.0</v>
      </c>
      <c r="C27" s="13">
        <f>MIN(Maps!$C$7-2,MAX(C26+2,ROUND(Maps!$C$7*Growth_Curve!$B$11/2,0)*2))</f>
        <v>32</v>
      </c>
      <c r="D27" s="13">
        <f>MIN(Maps!$D$7,MAX(D26,ROUND(Maps!$D$7*Growth_Curve!$B$11/2,0)*2))</f>
        <v>20</v>
      </c>
      <c r="E27" s="3">
        <f t="shared" si="1"/>
        <v>640</v>
      </c>
      <c r="F27" s="3">
        <f t="shared" si="8"/>
        <v>100</v>
      </c>
      <c r="G27" s="3">
        <f>ROUND(C27/2,0)+Global_Params!$B$16</f>
        <v>18</v>
      </c>
      <c r="H27" s="3">
        <f>ROUND(D27/2,0)+Global_Params!$B$16</f>
        <v>12</v>
      </c>
      <c r="I27" s="14" t="s">
        <v>309</v>
      </c>
      <c r="J27" s="13">
        <f>ROUND(Global_Params!$B$17*(1+Global_Params!$B$18*(B27-1))*Maps!$H$7,0)</f>
        <v>250</v>
      </c>
      <c r="K27" s="3">
        <f t="shared" si="2"/>
        <v>144</v>
      </c>
      <c r="L27" s="3">
        <f>ROUND(J27*(Global_Params!$B$19+(Global_Params!$B$20-Global_Params!$B$19)*(B27-1)/(Global_Params!$B$7-1)),0)</f>
        <v>68</v>
      </c>
      <c r="M27" s="13">
        <f>ROUND(J27*IF(Maps!$G$7="Yes",Global_Params!$B$21,0),0)</f>
        <v>38</v>
      </c>
      <c r="N27" s="3">
        <f t="shared" si="3"/>
        <v>14</v>
      </c>
      <c r="O27" s="13">
        <f>MAX(1,MIN(Global_Params!$B$26,ROUND(F27/50,0)))</f>
        <v>2</v>
      </c>
      <c r="P27" s="3">
        <f t="shared" si="4"/>
        <v>8</v>
      </c>
      <c r="Q27" s="13">
        <f>ROUND(E27/100*Global_Params!$B$25,0)</f>
        <v>269</v>
      </c>
      <c r="R27" s="13" t="str">
        <f>Maps!$F$7</f>
        <v>Minerals</v>
      </c>
      <c r="S27" s="19">
        <f>Growth_Curve!$B$11</f>
        <v>0.96</v>
      </c>
      <c r="T27" s="13">
        <f>IF(B27&lt;Global_Params!$B$30,0,MAX(1,ROUND(E27/260,0)))</f>
        <v>2</v>
      </c>
      <c r="U27" s="3" t="str">
        <f>IF(T27=0,"-","R")</f>
        <v>R</v>
      </c>
      <c r="V27" s="13">
        <f>IF(T27=0,0,ROUND(C27/2*Global_Params!$B$31,0))</f>
        <v>13</v>
      </c>
      <c r="W27" s="13">
        <f>IF(T27=0,0,ROUND(D27/2*Global_Params!$B$31,0))</f>
        <v>8</v>
      </c>
      <c r="X27" s="13">
        <f>IF(T27=0,0,Global_Params!$B$32)</f>
        <v>4</v>
      </c>
      <c r="Y27" s="13">
        <f>T27*Global_Params!$B$33</f>
        <v>20</v>
      </c>
    </row>
    <row r="28" ht="15.75" customHeight="1">
      <c r="A28" s="3">
        <v>3.0</v>
      </c>
      <c r="B28" s="3">
        <v>8.0</v>
      </c>
      <c r="C28" s="13">
        <f>Maps!$C$7</f>
        <v>34</v>
      </c>
      <c r="D28" s="13">
        <f>Maps!$D$7</f>
        <v>20</v>
      </c>
      <c r="E28" s="3">
        <f t="shared" si="1"/>
        <v>680</v>
      </c>
      <c r="F28" s="3">
        <f t="shared" si="8"/>
        <v>40</v>
      </c>
      <c r="G28" s="3">
        <f>ROUND(C28/2,0)+Global_Params!$B$16</f>
        <v>19</v>
      </c>
      <c r="H28" s="3">
        <f>ROUND(D28/2,0)+Global_Params!$B$16</f>
        <v>12</v>
      </c>
      <c r="I28" s="14" t="s">
        <v>310</v>
      </c>
      <c r="J28" s="13">
        <f>ROUND(Global_Params!$B$17*(1+Global_Params!$B$18*(B28-1))*Maps!$H$7,0)</f>
        <v>271</v>
      </c>
      <c r="K28" s="3">
        <f t="shared" si="2"/>
        <v>149</v>
      </c>
      <c r="L28" s="3">
        <f>ROUND(J28*(Global_Params!$B$19+(Global_Params!$B$20-Global_Params!$B$19)*(B28-1)/(Global_Params!$B$7-1)),0)</f>
        <v>81</v>
      </c>
      <c r="M28" s="13">
        <f>ROUND(J28*IF(Maps!$G$7="Yes",Global_Params!$B$21,0),0)</f>
        <v>41</v>
      </c>
      <c r="N28" s="3">
        <f t="shared" si="3"/>
        <v>15</v>
      </c>
      <c r="O28" s="13">
        <f>MAX(1,MIN(Global_Params!$B$26,ROUND(F28/50,0)))</f>
        <v>1</v>
      </c>
      <c r="P28" s="3">
        <f t="shared" si="4"/>
        <v>9</v>
      </c>
      <c r="Q28" s="13">
        <f>ROUND(E28/100*Global_Params!$B$25,0)</f>
        <v>286</v>
      </c>
      <c r="R28" s="13" t="str">
        <f>Maps!$F$7</f>
        <v>Minerals</v>
      </c>
      <c r="S28" s="19">
        <f>Growth_Curve!$B$12</f>
        <v>1</v>
      </c>
      <c r="T28" s="13">
        <f>IF(B28&lt;Global_Params!$B$30,0,MAX(1,ROUND(E28/260,0)))</f>
        <v>3</v>
      </c>
      <c r="U28" s="3" t="str">
        <f t="shared" ref="U28:U29" si="9">IF(T28=0,"-","L")</f>
        <v>L</v>
      </c>
      <c r="V28" s="13">
        <f>IF(T28=0,0,ROUND(C28/2*Global_Params!$B$31,0))</f>
        <v>14</v>
      </c>
      <c r="W28" s="13">
        <f>IF(T28=0,0,ROUND(D28/2*Global_Params!$B$31,0))</f>
        <v>8</v>
      </c>
      <c r="X28" s="13">
        <f>IF(T28=0,0,Global_Params!$B$32)</f>
        <v>4</v>
      </c>
      <c r="Y28" s="13">
        <f>T28*Global_Params!$B$33</f>
        <v>30</v>
      </c>
    </row>
    <row r="29" ht="15.75" customHeight="1">
      <c r="A29" s="20">
        <v>4.0</v>
      </c>
      <c r="B29" s="20">
        <v>1.0</v>
      </c>
      <c r="C29" s="21">
        <f>MIN(Maps!$C$8-2,ROUND(Maps!$C$8*Growth_Curve!$B$5/2,0)*2)</f>
        <v>16</v>
      </c>
      <c r="D29" s="21">
        <f>MIN(Maps!$D$8,ROUND(Maps!$D$8*Growth_Curve!$B$5/2,0)*2)</f>
        <v>8</v>
      </c>
      <c r="E29" s="20">
        <f t="shared" si="1"/>
        <v>128</v>
      </c>
      <c r="F29" s="20">
        <f>E29</f>
        <v>128</v>
      </c>
      <c r="G29" s="20">
        <f>ROUND(C29/2,0)+Global_Params!$B$16</f>
        <v>10</v>
      </c>
      <c r="H29" s="20">
        <f>ROUND(D29/2,0)+Global_Params!$B$16</f>
        <v>6</v>
      </c>
      <c r="I29" s="22" t="s">
        <v>310</v>
      </c>
      <c r="J29" s="21">
        <f>ROUND(Global_Params!$B$17*(1+Global_Params!$B$18*(B29-1))*Maps!$H$8,0)</f>
        <v>130</v>
      </c>
      <c r="K29" s="20">
        <f t="shared" si="2"/>
        <v>117</v>
      </c>
      <c r="L29" s="20">
        <f>ROUND(J29*(Global_Params!$B$19+(Global_Params!$B$20-Global_Params!$B$19)*(B29-1)/(Global_Params!$B$7-1)),0)</f>
        <v>13</v>
      </c>
      <c r="M29" s="21">
        <f>ROUND(J29*IF(Maps!$G$8="Yes",Global_Params!$B$21,0),0)</f>
        <v>0</v>
      </c>
      <c r="N29" s="20">
        <f t="shared" si="3"/>
        <v>3</v>
      </c>
      <c r="O29" s="20">
        <f>1</f>
        <v>1</v>
      </c>
      <c r="P29" s="20">
        <f t="shared" si="4"/>
        <v>2</v>
      </c>
      <c r="Q29" s="21">
        <f>ROUND(E29/100*Global_Params!$B$25,0)</f>
        <v>54</v>
      </c>
      <c r="R29" s="21" t="str">
        <f>Maps!$F$8</f>
        <v>Minerals</v>
      </c>
      <c r="S29" s="23">
        <f>Growth_Curve!$B$5</f>
        <v>0.4</v>
      </c>
      <c r="T29" s="21">
        <f>IF(B29&lt;Global_Params!$B$30,0,MAX(1,ROUND(E29/260,0)))</f>
        <v>0</v>
      </c>
      <c r="U29" s="20" t="str">
        <f t="shared" si="9"/>
        <v>-</v>
      </c>
      <c r="V29" s="21">
        <f>IF(T29=0,0,ROUND(C29/2*Global_Params!$B$31,0))</f>
        <v>0</v>
      </c>
      <c r="W29" s="21">
        <f>IF(T29=0,0,ROUND(D29/2*Global_Params!$B$31,0))</f>
        <v>0</v>
      </c>
      <c r="X29" s="21">
        <f>IF(T29=0,0,Global_Params!$B$32)</f>
        <v>0</v>
      </c>
      <c r="Y29" s="21">
        <f>T29*Global_Params!$B$33</f>
        <v>0</v>
      </c>
    </row>
    <row r="30" ht="15.75" customHeight="1">
      <c r="A30" s="20">
        <v>4.0</v>
      </c>
      <c r="B30" s="20">
        <v>2.0</v>
      </c>
      <c r="C30" s="21">
        <f>MIN(Maps!$C$8-2,MAX(C29+2,ROUND(Maps!$C$8*Growth_Curve!$B$6/2,0)*2))</f>
        <v>18</v>
      </c>
      <c r="D30" s="21">
        <f>MIN(Maps!$D$8,MAX(D29,ROUND(Maps!$D$8*Growth_Curve!$B$6/2,0)*2))</f>
        <v>10</v>
      </c>
      <c r="E30" s="20">
        <f t="shared" si="1"/>
        <v>180</v>
      </c>
      <c r="F30" s="20">
        <f t="shared" ref="F30:F36" si="10">E30-E29</f>
        <v>52</v>
      </c>
      <c r="G30" s="20">
        <f>ROUND(C30/2,0)+Global_Params!$B$16</f>
        <v>11</v>
      </c>
      <c r="H30" s="20">
        <f>ROUND(D30/2,0)+Global_Params!$B$16</f>
        <v>7</v>
      </c>
      <c r="I30" s="22" t="s">
        <v>309</v>
      </c>
      <c r="J30" s="21">
        <f>ROUND(Global_Params!$B$17*(1+Global_Params!$B$18*(B30-1))*Maps!$H$8,0)</f>
        <v>153</v>
      </c>
      <c r="K30" s="20">
        <f t="shared" si="2"/>
        <v>133</v>
      </c>
      <c r="L30" s="20">
        <f>ROUND(J30*(Global_Params!$B$19+(Global_Params!$B$20-Global_Params!$B$19)*(B30-1)/(Global_Params!$B$7-1)),0)</f>
        <v>20</v>
      </c>
      <c r="M30" s="21">
        <f>ROUND(J30*IF(Maps!$G$8="Yes",Global_Params!$B$21,0),0)</f>
        <v>0</v>
      </c>
      <c r="N30" s="20">
        <f t="shared" si="3"/>
        <v>4</v>
      </c>
      <c r="O30" s="21">
        <f>MAX(1,MIN(Global_Params!$B$26,ROUND(F30/50,0)))</f>
        <v>1</v>
      </c>
      <c r="P30" s="20">
        <f t="shared" si="4"/>
        <v>2</v>
      </c>
      <c r="Q30" s="21">
        <f>ROUND(E30/100*Global_Params!$B$25,0)</f>
        <v>76</v>
      </c>
      <c r="R30" s="21" t="str">
        <f>Maps!$F$8</f>
        <v>Minerals</v>
      </c>
      <c r="S30" s="23">
        <f>Growth_Curve!$B$6</f>
        <v>0.46</v>
      </c>
      <c r="T30" s="21">
        <f>IF(B30&lt;Global_Params!$B$30,0,MAX(1,ROUND(E30/260,0)))</f>
        <v>0</v>
      </c>
      <c r="U30" s="20" t="str">
        <f>IF(T30=0,"-","R")</f>
        <v>-</v>
      </c>
      <c r="V30" s="21">
        <f>IF(T30=0,0,ROUND(C30/2*Global_Params!$B$31,0))</f>
        <v>0</v>
      </c>
      <c r="W30" s="21">
        <f>IF(T30=0,0,ROUND(D30/2*Global_Params!$B$31,0))</f>
        <v>0</v>
      </c>
      <c r="X30" s="21">
        <f>IF(T30=0,0,Global_Params!$B$32)</f>
        <v>0</v>
      </c>
      <c r="Y30" s="21">
        <f>T30*Global_Params!$B$33</f>
        <v>0</v>
      </c>
    </row>
    <row r="31" ht="15.75" customHeight="1">
      <c r="A31" s="20">
        <v>4.0</v>
      </c>
      <c r="B31" s="20">
        <v>3.0</v>
      </c>
      <c r="C31" s="21">
        <f>MIN(Maps!$C$8-2,MAX(C30+2,ROUND(Maps!$C$8*Growth_Curve!$B$7/2,0)*2))</f>
        <v>22</v>
      </c>
      <c r="D31" s="21">
        <f>MIN(Maps!$D$8,MAX(D30,ROUND(Maps!$D$8*Growth_Curve!$B$7/2,0)*2))</f>
        <v>12</v>
      </c>
      <c r="E31" s="20">
        <f t="shared" si="1"/>
        <v>264</v>
      </c>
      <c r="F31" s="20">
        <f t="shared" si="10"/>
        <v>84</v>
      </c>
      <c r="G31" s="20">
        <f>ROUND(C31/2,0)+Global_Params!$B$16</f>
        <v>13</v>
      </c>
      <c r="H31" s="20">
        <f>ROUND(D31/2,0)+Global_Params!$B$16</f>
        <v>8</v>
      </c>
      <c r="I31" s="22" t="s">
        <v>310</v>
      </c>
      <c r="J31" s="21">
        <f>ROUND(Global_Params!$B$17*(1+Global_Params!$B$18*(B31-1))*Maps!$H$8,0)</f>
        <v>177</v>
      </c>
      <c r="K31" s="20">
        <f t="shared" si="2"/>
        <v>149</v>
      </c>
      <c r="L31" s="20">
        <f>ROUND(J31*(Global_Params!$B$19+(Global_Params!$B$20-Global_Params!$B$19)*(B31-1)/(Global_Params!$B$7-1)),0)</f>
        <v>28</v>
      </c>
      <c r="M31" s="21">
        <f>ROUND(J31*IF(Maps!$G$8="Yes",Global_Params!$B$21,0),0)</f>
        <v>0</v>
      </c>
      <c r="N31" s="20">
        <f t="shared" si="3"/>
        <v>6</v>
      </c>
      <c r="O31" s="21">
        <f>MAX(1,MIN(Global_Params!$B$26,ROUND(F31/50,0)))</f>
        <v>2</v>
      </c>
      <c r="P31" s="20">
        <f t="shared" si="4"/>
        <v>4</v>
      </c>
      <c r="Q31" s="21">
        <f>ROUND(E31/100*Global_Params!$B$25,0)</f>
        <v>111</v>
      </c>
      <c r="R31" s="21" t="str">
        <f>Maps!$F$8</f>
        <v>Minerals</v>
      </c>
      <c r="S31" s="23">
        <f>Growth_Curve!$B$7</f>
        <v>0.54</v>
      </c>
      <c r="T31" s="21">
        <f>IF(B31&lt;Global_Params!$B$30,0,MAX(1,ROUND(E31/260,0)))</f>
        <v>0</v>
      </c>
      <c r="U31" s="20" t="str">
        <f>IF(T31=0,"-","L")</f>
        <v>-</v>
      </c>
      <c r="V31" s="21">
        <f>IF(T31=0,0,ROUND(C31/2*Global_Params!$B$31,0))</f>
        <v>0</v>
      </c>
      <c r="W31" s="21">
        <f>IF(T31=0,0,ROUND(D31/2*Global_Params!$B$31,0))</f>
        <v>0</v>
      </c>
      <c r="X31" s="21">
        <f>IF(T31=0,0,Global_Params!$B$32)</f>
        <v>0</v>
      </c>
      <c r="Y31" s="21">
        <f>T31*Global_Params!$B$33</f>
        <v>0</v>
      </c>
    </row>
    <row r="32" ht="15.75" customHeight="1">
      <c r="A32" s="20">
        <v>4.0</v>
      </c>
      <c r="B32" s="20">
        <v>4.0</v>
      </c>
      <c r="C32" s="21">
        <f>MIN(Maps!$C$8-2,MAX(C31+2,ROUND(Maps!$C$8*Growth_Curve!$B$8/2,0)*2))</f>
        <v>26</v>
      </c>
      <c r="D32" s="21">
        <f>MIN(Maps!$D$8,MAX(D31,ROUND(Maps!$D$8*Growth_Curve!$B$8/2,0)*2))</f>
        <v>14</v>
      </c>
      <c r="E32" s="20">
        <f t="shared" si="1"/>
        <v>364</v>
      </c>
      <c r="F32" s="20">
        <f t="shared" si="10"/>
        <v>100</v>
      </c>
      <c r="G32" s="20">
        <f>ROUND(C32/2,0)+Global_Params!$B$16</f>
        <v>15</v>
      </c>
      <c r="H32" s="20">
        <f>ROUND(D32/2,0)+Global_Params!$B$16</f>
        <v>9</v>
      </c>
      <c r="I32" s="22" t="s">
        <v>311</v>
      </c>
      <c r="J32" s="21">
        <f>ROUND(Global_Params!$B$17*(1+Global_Params!$B$18*(B32-1))*Maps!$H$8,0)</f>
        <v>200</v>
      </c>
      <c r="K32" s="20">
        <f t="shared" si="2"/>
        <v>163</v>
      </c>
      <c r="L32" s="20">
        <f>ROUND(J32*(Global_Params!$B$19+(Global_Params!$B$20-Global_Params!$B$19)*(B32-1)/(Global_Params!$B$7-1)),0)</f>
        <v>37</v>
      </c>
      <c r="M32" s="21">
        <f>ROUND(J32*IF(Maps!$G$8="Yes",Global_Params!$B$21,0),0)</f>
        <v>0</v>
      </c>
      <c r="N32" s="20">
        <f t="shared" si="3"/>
        <v>8</v>
      </c>
      <c r="O32" s="21">
        <f>MAX(1,MIN(Global_Params!$B$26,ROUND(F32/50,0)))</f>
        <v>2</v>
      </c>
      <c r="P32" s="20">
        <f t="shared" si="4"/>
        <v>5</v>
      </c>
      <c r="Q32" s="21">
        <f>ROUND(E32/100*Global_Params!$B$25,0)</f>
        <v>153</v>
      </c>
      <c r="R32" s="21" t="str">
        <f>Maps!$F$8</f>
        <v>Minerals</v>
      </c>
      <c r="S32" s="23">
        <f>Growth_Curve!$B$8</f>
        <v>0.66</v>
      </c>
      <c r="T32" s="21">
        <f>IF(B32&lt;Global_Params!$B$30,0,MAX(1,ROUND(E32/260,0)))</f>
        <v>0</v>
      </c>
      <c r="U32" s="20" t="str">
        <f>IF(T32=0,"-","B")</f>
        <v>-</v>
      </c>
      <c r="V32" s="21">
        <f>IF(T32=0,0,ROUND(C32/2*Global_Params!$B$31,0))</f>
        <v>0</v>
      </c>
      <c r="W32" s="21">
        <f>IF(T32=0,0,ROUND(D32/2*Global_Params!$B$31,0))</f>
        <v>0</v>
      </c>
      <c r="X32" s="21">
        <f>IF(T32=0,0,Global_Params!$B$32)</f>
        <v>0</v>
      </c>
      <c r="Y32" s="21">
        <f>T32*Global_Params!$B$33</f>
        <v>0</v>
      </c>
    </row>
    <row r="33" ht="15.75" customHeight="1">
      <c r="A33" s="20">
        <v>4.0</v>
      </c>
      <c r="B33" s="20">
        <v>5.0</v>
      </c>
      <c r="C33" s="21">
        <f>MIN(Maps!$C$8-2,MAX(C32+2,ROUND(Maps!$C$8*Growth_Curve!$B$9/2,0)*2))</f>
        <v>32</v>
      </c>
      <c r="D33" s="21">
        <f>MIN(Maps!$D$8,MAX(D32,ROUND(Maps!$D$8*Growth_Curve!$B$9/2,0)*2))</f>
        <v>18</v>
      </c>
      <c r="E33" s="20">
        <f t="shared" si="1"/>
        <v>576</v>
      </c>
      <c r="F33" s="20">
        <f t="shared" si="10"/>
        <v>212</v>
      </c>
      <c r="G33" s="20">
        <f>ROUND(C33/2,0)+Global_Params!$B$16</f>
        <v>18</v>
      </c>
      <c r="H33" s="20">
        <f>ROUND(D33/2,0)+Global_Params!$B$16</f>
        <v>11</v>
      </c>
      <c r="I33" s="22" t="s">
        <v>312</v>
      </c>
      <c r="J33" s="21">
        <f>ROUND(Global_Params!$B$17*(1+Global_Params!$B$18*(B33-1))*Maps!$H$8,0)</f>
        <v>224</v>
      </c>
      <c r="K33" s="20">
        <f t="shared" si="2"/>
        <v>176</v>
      </c>
      <c r="L33" s="20">
        <f>ROUND(J33*(Global_Params!$B$19+(Global_Params!$B$20-Global_Params!$B$19)*(B33-1)/(Global_Params!$B$7-1)),0)</f>
        <v>48</v>
      </c>
      <c r="M33" s="21">
        <f>ROUND(J33*IF(Maps!$G$8="Yes",Global_Params!$B$21,0),0)</f>
        <v>0</v>
      </c>
      <c r="N33" s="20">
        <f t="shared" si="3"/>
        <v>13</v>
      </c>
      <c r="O33" s="21">
        <f>MAX(1,MIN(Global_Params!$B$26,ROUND(F33/50,0)))</f>
        <v>3</v>
      </c>
      <c r="P33" s="20">
        <f t="shared" si="4"/>
        <v>8</v>
      </c>
      <c r="Q33" s="21">
        <f>ROUND(E33/100*Global_Params!$B$25,0)</f>
        <v>242</v>
      </c>
      <c r="R33" s="21" t="str">
        <f>Maps!$F$8</f>
        <v>Minerals</v>
      </c>
      <c r="S33" s="23">
        <f>Growth_Curve!$B$9</f>
        <v>0.79</v>
      </c>
      <c r="T33" s="21">
        <f>IF(B33&lt;Global_Params!$B$30,0,MAX(1,ROUND(E33/260,0)))</f>
        <v>2</v>
      </c>
      <c r="U33" s="20" t="str">
        <f>IF(T33=0,"-","T")</f>
        <v>T</v>
      </c>
      <c r="V33" s="21">
        <f>IF(T33=0,0,ROUND(C33/2*Global_Params!$B$31,0))</f>
        <v>13</v>
      </c>
      <c r="W33" s="21">
        <f>IF(T33=0,0,ROUND(D33/2*Global_Params!$B$31,0))</f>
        <v>7</v>
      </c>
      <c r="X33" s="21">
        <f>IF(T33=0,0,Global_Params!$B$32)</f>
        <v>4</v>
      </c>
      <c r="Y33" s="21">
        <f>T33*Global_Params!$B$33</f>
        <v>20</v>
      </c>
    </row>
    <row r="34" ht="15.75" customHeight="1">
      <c r="A34" s="20">
        <v>4.0</v>
      </c>
      <c r="B34" s="20">
        <v>6.0</v>
      </c>
      <c r="C34" s="21">
        <f>MIN(Maps!$C$8-2,MAX(C33+2,ROUND(Maps!$C$8*Growth_Curve!$B$10/2,0)*2))</f>
        <v>36</v>
      </c>
      <c r="D34" s="21">
        <f>MIN(Maps!$D$8,MAX(D33,ROUND(Maps!$D$8*Growth_Curve!$B$10/2,0)*2))</f>
        <v>20</v>
      </c>
      <c r="E34" s="20">
        <f t="shared" si="1"/>
        <v>720</v>
      </c>
      <c r="F34" s="20">
        <f t="shared" si="10"/>
        <v>144</v>
      </c>
      <c r="G34" s="20">
        <f>ROUND(C34/2,0)+Global_Params!$B$16</f>
        <v>20</v>
      </c>
      <c r="H34" s="20">
        <f>ROUND(D34/2,0)+Global_Params!$B$16</f>
        <v>12</v>
      </c>
      <c r="I34" s="22" t="s">
        <v>309</v>
      </c>
      <c r="J34" s="21">
        <f>ROUND(Global_Params!$B$17*(1+Global_Params!$B$18*(B34-1))*Maps!$H$8,0)</f>
        <v>247</v>
      </c>
      <c r="K34" s="20">
        <f t="shared" si="2"/>
        <v>187</v>
      </c>
      <c r="L34" s="20">
        <f>ROUND(J34*(Global_Params!$B$19+(Global_Params!$B$20-Global_Params!$B$19)*(B34-1)/(Global_Params!$B$7-1)),0)</f>
        <v>60</v>
      </c>
      <c r="M34" s="21">
        <f>ROUND(J34*IF(Maps!$G$8="Yes",Global_Params!$B$21,0),0)</f>
        <v>0</v>
      </c>
      <c r="N34" s="20">
        <f t="shared" si="3"/>
        <v>16</v>
      </c>
      <c r="O34" s="21">
        <f>MAX(1,MIN(Global_Params!$B$26,ROUND(F34/50,0)))</f>
        <v>3</v>
      </c>
      <c r="P34" s="20">
        <f t="shared" si="4"/>
        <v>10</v>
      </c>
      <c r="Q34" s="21">
        <f>ROUND(E34/100*Global_Params!$B$25,0)</f>
        <v>302</v>
      </c>
      <c r="R34" s="21" t="str">
        <f>Maps!$F$8</f>
        <v>Minerals</v>
      </c>
      <c r="S34" s="23">
        <f>Growth_Curve!$B$10</f>
        <v>0.89</v>
      </c>
      <c r="T34" s="21">
        <f>IF(B34&lt;Global_Params!$B$30,0,MAX(1,ROUND(E34/260,0)))</f>
        <v>3</v>
      </c>
      <c r="U34" s="20" t="str">
        <f>IF(T34=0,"-","R")</f>
        <v>R</v>
      </c>
      <c r="V34" s="21">
        <f>IF(T34=0,0,ROUND(C34/2*Global_Params!$B$31,0))</f>
        <v>14</v>
      </c>
      <c r="W34" s="21">
        <f>IF(T34=0,0,ROUND(D34/2*Global_Params!$B$31,0))</f>
        <v>8</v>
      </c>
      <c r="X34" s="21">
        <f>IF(T34=0,0,Global_Params!$B$32)</f>
        <v>4</v>
      </c>
      <c r="Y34" s="21">
        <f>T34*Global_Params!$B$33</f>
        <v>30</v>
      </c>
    </row>
    <row r="35" ht="15.75" customHeight="1">
      <c r="A35" s="20">
        <v>4.0</v>
      </c>
      <c r="B35" s="20">
        <v>7.0</v>
      </c>
      <c r="C35" s="21">
        <f>MIN(Maps!$C$8-2,MAX(C34+2,ROUND(Maps!$C$8*Growth_Curve!$B$11/2,0)*2))</f>
        <v>38</v>
      </c>
      <c r="D35" s="21">
        <f>MIN(Maps!$D$8,MAX(D34,ROUND(Maps!$D$8*Growth_Curve!$B$11/2,0)*2))</f>
        <v>22</v>
      </c>
      <c r="E35" s="20">
        <f t="shared" si="1"/>
        <v>836</v>
      </c>
      <c r="F35" s="20">
        <f t="shared" si="10"/>
        <v>116</v>
      </c>
      <c r="G35" s="20">
        <f>ROUND(C35/2,0)+Global_Params!$B$16</f>
        <v>21</v>
      </c>
      <c r="H35" s="20">
        <f>ROUND(D35/2,0)+Global_Params!$B$16</f>
        <v>13</v>
      </c>
      <c r="I35" s="22" t="s">
        <v>310</v>
      </c>
      <c r="J35" s="21">
        <f>ROUND(Global_Params!$B$17*(1+Global_Params!$B$18*(B35-1))*Maps!$H$8,0)</f>
        <v>270</v>
      </c>
      <c r="K35" s="20">
        <f t="shared" si="2"/>
        <v>197</v>
      </c>
      <c r="L35" s="20">
        <f>ROUND(J35*(Global_Params!$B$19+(Global_Params!$B$20-Global_Params!$B$19)*(B35-1)/(Global_Params!$B$7-1)),0)</f>
        <v>73</v>
      </c>
      <c r="M35" s="21">
        <f>ROUND(J35*IF(Maps!$G$8="Yes",Global_Params!$B$21,0),0)</f>
        <v>0</v>
      </c>
      <c r="N35" s="20">
        <f t="shared" si="3"/>
        <v>19</v>
      </c>
      <c r="O35" s="21">
        <f>MAX(1,MIN(Global_Params!$B$26,ROUND(F35/50,0)))</f>
        <v>2</v>
      </c>
      <c r="P35" s="20">
        <f t="shared" si="4"/>
        <v>11</v>
      </c>
      <c r="Q35" s="21">
        <f>ROUND(E35/100*Global_Params!$B$25,0)</f>
        <v>351</v>
      </c>
      <c r="R35" s="21" t="str">
        <f>Maps!$F$8</f>
        <v>Minerals</v>
      </c>
      <c r="S35" s="23">
        <f>Growth_Curve!$B$11</f>
        <v>0.96</v>
      </c>
      <c r="T35" s="21">
        <f>IF(B35&lt;Global_Params!$B$30,0,MAX(1,ROUND(E35/260,0)))</f>
        <v>3</v>
      </c>
      <c r="U35" s="20" t="str">
        <f>IF(T35=0,"-","L")</f>
        <v>L</v>
      </c>
      <c r="V35" s="21">
        <f>IF(T35=0,0,ROUND(C35/2*Global_Params!$B$31,0))</f>
        <v>15</v>
      </c>
      <c r="W35" s="21">
        <f>IF(T35=0,0,ROUND(D35/2*Global_Params!$B$31,0))</f>
        <v>9</v>
      </c>
      <c r="X35" s="21">
        <f>IF(T35=0,0,Global_Params!$B$32)</f>
        <v>4</v>
      </c>
      <c r="Y35" s="21">
        <f>T35*Global_Params!$B$33</f>
        <v>30</v>
      </c>
    </row>
    <row r="36" ht="15.75" customHeight="1">
      <c r="A36" s="20">
        <v>4.0</v>
      </c>
      <c r="B36" s="20">
        <v>8.0</v>
      </c>
      <c r="C36" s="21">
        <f>Maps!$C$8</f>
        <v>40</v>
      </c>
      <c r="D36" s="21">
        <f>Maps!$D$8</f>
        <v>22</v>
      </c>
      <c r="E36" s="20">
        <f t="shared" si="1"/>
        <v>880</v>
      </c>
      <c r="F36" s="20">
        <f t="shared" si="10"/>
        <v>44</v>
      </c>
      <c r="G36" s="20">
        <f>ROUND(C36/2,0)+Global_Params!$B$16</f>
        <v>22</v>
      </c>
      <c r="H36" s="20">
        <f>ROUND(D36/2,0)+Global_Params!$B$16</f>
        <v>13</v>
      </c>
      <c r="I36" s="22" t="s">
        <v>309</v>
      </c>
      <c r="J36" s="21">
        <f>ROUND(Global_Params!$B$17*(1+Global_Params!$B$18*(B36-1))*Maps!$H$8,0)</f>
        <v>294</v>
      </c>
      <c r="K36" s="20">
        <f t="shared" si="2"/>
        <v>206</v>
      </c>
      <c r="L36" s="20">
        <f>ROUND(J36*(Global_Params!$B$19+(Global_Params!$B$20-Global_Params!$B$19)*(B36-1)/(Global_Params!$B$7-1)),0)</f>
        <v>88</v>
      </c>
      <c r="M36" s="21">
        <f>ROUND(J36*IF(Maps!$G$8="Yes",Global_Params!$B$21,0),0)</f>
        <v>0</v>
      </c>
      <c r="N36" s="20">
        <f t="shared" si="3"/>
        <v>20</v>
      </c>
      <c r="O36" s="21">
        <f>MAX(1,MIN(Global_Params!$B$26,ROUND(F36/50,0)))</f>
        <v>1</v>
      </c>
      <c r="P36" s="20">
        <f t="shared" si="4"/>
        <v>12</v>
      </c>
      <c r="Q36" s="21">
        <f>ROUND(E36/100*Global_Params!$B$25,0)</f>
        <v>370</v>
      </c>
      <c r="R36" s="21" t="str">
        <f>Maps!$F$8</f>
        <v>Minerals</v>
      </c>
      <c r="S36" s="23">
        <f>Growth_Curve!$B$12</f>
        <v>1</v>
      </c>
      <c r="T36" s="21">
        <f>IF(B36&lt;Global_Params!$B$30,0,MAX(1,ROUND(E36/260,0)))</f>
        <v>3</v>
      </c>
      <c r="U36" s="20" t="str">
        <f t="shared" ref="U36:U37" si="11">IF(T36=0,"-","R")</f>
        <v>R</v>
      </c>
      <c r="V36" s="21">
        <f>IF(T36=0,0,ROUND(C36/2*Global_Params!$B$31,0))</f>
        <v>16</v>
      </c>
      <c r="W36" s="21">
        <f>IF(T36=0,0,ROUND(D36/2*Global_Params!$B$31,0))</f>
        <v>9</v>
      </c>
      <c r="X36" s="21">
        <f>IF(T36=0,0,Global_Params!$B$32)</f>
        <v>4</v>
      </c>
      <c r="Y36" s="21">
        <f>T36*Global_Params!$B$33</f>
        <v>30</v>
      </c>
    </row>
    <row r="37" ht="15.75" customHeight="1">
      <c r="A37" s="3">
        <v>5.0</v>
      </c>
      <c r="B37" s="3">
        <v>1.0</v>
      </c>
      <c r="C37" s="13">
        <f>MIN(Maps!$C$9-2,ROUND(Maps!$C$9*Growth_Curve!$B$5/2,0)*2)</f>
        <v>18</v>
      </c>
      <c r="D37" s="13">
        <f>MIN(Maps!$D$9,ROUND(Maps!$D$9*Growth_Curve!$B$5/2,0)*2)</f>
        <v>10</v>
      </c>
      <c r="E37" s="3">
        <f t="shared" si="1"/>
        <v>180</v>
      </c>
      <c r="F37" s="3">
        <f>E37</f>
        <v>180</v>
      </c>
      <c r="G37" s="3">
        <f>ROUND(C37/2,0)+Global_Params!$B$16</f>
        <v>11</v>
      </c>
      <c r="H37" s="3">
        <f>ROUND(D37/2,0)+Global_Params!$B$16</f>
        <v>7</v>
      </c>
      <c r="I37" s="14" t="s">
        <v>309</v>
      </c>
      <c r="J37" s="13">
        <f>ROUND(Global_Params!$B$17*(1+Global_Params!$B$18*(B37-1))*Maps!$H$9,0)</f>
        <v>140</v>
      </c>
      <c r="K37" s="3">
        <f t="shared" si="2"/>
        <v>105</v>
      </c>
      <c r="L37" s="3">
        <f>ROUND(J37*(Global_Params!$B$19+(Global_Params!$B$20-Global_Params!$B$19)*(B37-1)/(Global_Params!$B$7-1)),0)</f>
        <v>14</v>
      </c>
      <c r="M37" s="13">
        <f>ROUND(J37*IF(Maps!$G$9="Yes",Global_Params!$B$21,0),0)</f>
        <v>21</v>
      </c>
      <c r="N37" s="3">
        <f t="shared" si="3"/>
        <v>4</v>
      </c>
      <c r="O37" s="3">
        <f>1</f>
        <v>1</v>
      </c>
      <c r="P37" s="3">
        <f t="shared" si="4"/>
        <v>2</v>
      </c>
      <c r="Q37" s="13">
        <f>ROUND(E37/100*Global_Params!$B$25,0)</f>
        <v>76</v>
      </c>
      <c r="R37" s="13" t="str">
        <f>Maps!$F$9</f>
        <v>Crystals</v>
      </c>
      <c r="S37" s="19">
        <f>Growth_Curve!$B$5</f>
        <v>0.4</v>
      </c>
      <c r="T37" s="13">
        <f>IF(B37&lt;Global_Params!$B$30,0,MAX(1,ROUND(E37/260,0)))</f>
        <v>0</v>
      </c>
      <c r="U37" s="3" t="str">
        <f t="shared" si="11"/>
        <v>-</v>
      </c>
      <c r="V37" s="13">
        <f>IF(T37=0,0,ROUND(C37/2*Global_Params!$B$31,0))</f>
        <v>0</v>
      </c>
      <c r="W37" s="13">
        <f>IF(T37=0,0,ROUND(D37/2*Global_Params!$B$31,0))</f>
        <v>0</v>
      </c>
      <c r="X37" s="13">
        <f>IF(T37=0,0,Global_Params!$B$32)</f>
        <v>0</v>
      </c>
      <c r="Y37" s="13">
        <f>T37*Global_Params!$B$33</f>
        <v>0</v>
      </c>
    </row>
    <row r="38" ht="15.75" customHeight="1">
      <c r="A38" s="3">
        <v>5.0</v>
      </c>
      <c r="B38" s="3">
        <v>2.0</v>
      </c>
      <c r="C38" s="13">
        <f>MIN(Maps!$C$9-2,MAX(C37+2,ROUND(Maps!$C$9*Growth_Curve!$B$6/2,0)*2))</f>
        <v>20</v>
      </c>
      <c r="D38" s="13">
        <f>MIN(Maps!$D$9,MAX(D37,ROUND(Maps!$D$9*Growth_Curve!$B$6/2,0)*2))</f>
        <v>12</v>
      </c>
      <c r="E38" s="3">
        <f t="shared" si="1"/>
        <v>240</v>
      </c>
      <c r="F38" s="3">
        <f t="shared" ref="F38:F44" si="12">E38-E37</f>
        <v>60</v>
      </c>
      <c r="G38" s="3">
        <f>ROUND(C38/2,0)+Global_Params!$B$16</f>
        <v>12</v>
      </c>
      <c r="H38" s="3">
        <f>ROUND(D38/2,0)+Global_Params!$B$16</f>
        <v>8</v>
      </c>
      <c r="I38" s="14" t="s">
        <v>310</v>
      </c>
      <c r="J38" s="13">
        <f>ROUND(Global_Params!$B$17*(1+Global_Params!$B$18*(B38-1))*Maps!$H$9,0)</f>
        <v>165</v>
      </c>
      <c r="K38" s="3">
        <f t="shared" si="2"/>
        <v>119</v>
      </c>
      <c r="L38" s="3">
        <f>ROUND(J38*(Global_Params!$B$19+(Global_Params!$B$20-Global_Params!$B$19)*(B38-1)/(Global_Params!$B$7-1)),0)</f>
        <v>21</v>
      </c>
      <c r="M38" s="13">
        <f>ROUND(J38*IF(Maps!$G$9="Yes",Global_Params!$B$21,0),0)</f>
        <v>25</v>
      </c>
      <c r="N38" s="3">
        <f t="shared" si="3"/>
        <v>5</v>
      </c>
      <c r="O38" s="13">
        <f>MAX(1,MIN(Global_Params!$B$26,ROUND(F38/50,0)))</f>
        <v>1</v>
      </c>
      <c r="P38" s="3">
        <f t="shared" si="4"/>
        <v>3</v>
      </c>
      <c r="Q38" s="13">
        <f>ROUND(E38/100*Global_Params!$B$25,0)</f>
        <v>101</v>
      </c>
      <c r="R38" s="13" t="str">
        <f>Maps!$F$9</f>
        <v>Crystals</v>
      </c>
      <c r="S38" s="19">
        <f>Growth_Curve!$B$6</f>
        <v>0.46</v>
      </c>
      <c r="T38" s="13">
        <f>IF(B38&lt;Global_Params!$B$30,0,MAX(1,ROUND(E38/260,0)))</f>
        <v>0</v>
      </c>
      <c r="U38" s="3" t="str">
        <f>IF(T38=0,"-","L")</f>
        <v>-</v>
      </c>
      <c r="V38" s="13">
        <f>IF(T38=0,0,ROUND(C38/2*Global_Params!$B$31,0))</f>
        <v>0</v>
      </c>
      <c r="W38" s="13">
        <f>IF(T38=0,0,ROUND(D38/2*Global_Params!$B$31,0))</f>
        <v>0</v>
      </c>
      <c r="X38" s="13">
        <f>IF(T38=0,0,Global_Params!$B$32)</f>
        <v>0</v>
      </c>
      <c r="Y38" s="13">
        <f>T38*Global_Params!$B$33</f>
        <v>0</v>
      </c>
    </row>
    <row r="39" ht="15.75" customHeight="1">
      <c r="A39" s="3">
        <v>5.0</v>
      </c>
      <c r="B39" s="3">
        <v>3.0</v>
      </c>
      <c r="C39" s="13">
        <f>MIN(Maps!$C$9-2,MAX(C38+2,ROUND(Maps!$C$9*Growth_Curve!$B$7/2,0)*2))</f>
        <v>24</v>
      </c>
      <c r="D39" s="13">
        <f>MIN(Maps!$D$9,MAX(D38,ROUND(Maps!$D$9*Growth_Curve!$B$7/2,0)*2))</f>
        <v>12</v>
      </c>
      <c r="E39" s="3">
        <f t="shared" si="1"/>
        <v>288</v>
      </c>
      <c r="F39" s="3">
        <f t="shared" si="12"/>
        <v>48</v>
      </c>
      <c r="G39" s="3">
        <f>ROUND(C39/2,0)+Global_Params!$B$16</f>
        <v>14</v>
      </c>
      <c r="H39" s="3">
        <f>ROUND(D39/2,0)+Global_Params!$B$16</f>
        <v>8</v>
      </c>
      <c r="I39" s="14" t="s">
        <v>311</v>
      </c>
      <c r="J39" s="13">
        <f>ROUND(Global_Params!$B$17*(1+Global_Params!$B$18*(B39-1))*Maps!$H$9,0)</f>
        <v>190</v>
      </c>
      <c r="K39" s="3">
        <f t="shared" si="2"/>
        <v>131</v>
      </c>
      <c r="L39" s="3">
        <f>ROUND(J39*(Global_Params!$B$19+(Global_Params!$B$20-Global_Params!$B$19)*(B39-1)/(Global_Params!$B$7-1)),0)</f>
        <v>30</v>
      </c>
      <c r="M39" s="13">
        <f>ROUND(J39*IF(Maps!$G$9="Yes",Global_Params!$B$21,0),0)</f>
        <v>29</v>
      </c>
      <c r="N39" s="3">
        <f t="shared" si="3"/>
        <v>6</v>
      </c>
      <c r="O39" s="13">
        <f>MAX(1,MIN(Global_Params!$B$26,ROUND(F39/50,0)))</f>
        <v>1</v>
      </c>
      <c r="P39" s="3">
        <f t="shared" si="4"/>
        <v>4</v>
      </c>
      <c r="Q39" s="13">
        <f>ROUND(E39/100*Global_Params!$B$25,0)</f>
        <v>121</v>
      </c>
      <c r="R39" s="13" t="str">
        <f>Maps!$F$9</f>
        <v>Crystals</v>
      </c>
      <c r="S39" s="19">
        <f>Growth_Curve!$B$7</f>
        <v>0.54</v>
      </c>
      <c r="T39" s="13">
        <f>IF(B39&lt;Global_Params!$B$30,0,MAX(1,ROUND(E39/260,0)))</f>
        <v>0</v>
      </c>
      <c r="U39" s="3" t="str">
        <f>IF(T39=0,"-","B")</f>
        <v>-</v>
      </c>
      <c r="V39" s="13">
        <f>IF(T39=0,0,ROUND(C39/2*Global_Params!$B$31,0))</f>
        <v>0</v>
      </c>
      <c r="W39" s="13">
        <f>IF(T39=0,0,ROUND(D39/2*Global_Params!$B$31,0))</f>
        <v>0</v>
      </c>
      <c r="X39" s="13">
        <f>IF(T39=0,0,Global_Params!$B$32)</f>
        <v>0</v>
      </c>
      <c r="Y39" s="13">
        <f>T39*Global_Params!$B$33</f>
        <v>0</v>
      </c>
    </row>
    <row r="40" ht="15.75" customHeight="1">
      <c r="A40" s="3">
        <v>5.0</v>
      </c>
      <c r="B40" s="3">
        <v>4.0</v>
      </c>
      <c r="C40" s="13">
        <f>MIN(Maps!$C$9-2,MAX(C39+2,ROUND(Maps!$C$9*Growth_Curve!$B$8/2,0)*2))</f>
        <v>30</v>
      </c>
      <c r="D40" s="13">
        <f>MIN(Maps!$D$9,MAX(D39,ROUND(Maps!$D$9*Growth_Curve!$B$8/2,0)*2))</f>
        <v>16</v>
      </c>
      <c r="E40" s="3">
        <f t="shared" si="1"/>
        <v>480</v>
      </c>
      <c r="F40" s="3">
        <f t="shared" si="12"/>
        <v>192</v>
      </c>
      <c r="G40" s="3">
        <f>ROUND(C40/2,0)+Global_Params!$B$16</f>
        <v>17</v>
      </c>
      <c r="H40" s="3">
        <f>ROUND(D40/2,0)+Global_Params!$B$16</f>
        <v>10</v>
      </c>
      <c r="I40" s="14" t="s">
        <v>312</v>
      </c>
      <c r="J40" s="13">
        <f>ROUND(Global_Params!$B$17*(1+Global_Params!$B$18*(B40-1))*Maps!$H$9,0)</f>
        <v>216</v>
      </c>
      <c r="K40" s="3">
        <f t="shared" si="2"/>
        <v>144</v>
      </c>
      <c r="L40" s="3">
        <f>ROUND(J40*(Global_Params!$B$19+(Global_Params!$B$20-Global_Params!$B$19)*(B40-1)/(Global_Params!$B$7-1)),0)</f>
        <v>40</v>
      </c>
      <c r="M40" s="13">
        <f>ROUND(J40*IF(Maps!$G$9="Yes",Global_Params!$B$21,0),0)</f>
        <v>32</v>
      </c>
      <c r="N40" s="3">
        <f t="shared" si="3"/>
        <v>11</v>
      </c>
      <c r="O40" s="13">
        <f>MAX(1,MIN(Global_Params!$B$26,ROUND(F40/50,0)))</f>
        <v>3</v>
      </c>
      <c r="P40" s="3">
        <f t="shared" si="4"/>
        <v>7</v>
      </c>
      <c r="Q40" s="13">
        <f>ROUND(E40/100*Global_Params!$B$25,0)</f>
        <v>202</v>
      </c>
      <c r="R40" s="13" t="str">
        <f>Maps!$F$9</f>
        <v>Crystals</v>
      </c>
      <c r="S40" s="19">
        <f>Growth_Curve!$B$8</f>
        <v>0.66</v>
      </c>
      <c r="T40" s="13">
        <f>IF(B40&lt;Global_Params!$B$30,0,MAX(1,ROUND(E40/260,0)))</f>
        <v>0</v>
      </c>
      <c r="U40" s="3" t="str">
        <f>IF(T40=0,"-","T")</f>
        <v>-</v>
      </c>
      <c r="V40" s="13">
        <f>IF(T40=0,0,ROUND(C40/2*Global_Params!$B$31,0))</f>
        <v>0</v>
      </c>
      <c r="W40" s="13">
        <f>IF(T40=0,0,ROUND(D40/2*Global_Params!$B$31,0))</f>
        <v>0</v>
      </c>
      <c r="X40" s="13">
        <f>IF(T40=0,0,Global_Params!$B$32)</f>
        <v>0</v>
      </c>
      <c r="Y40" s="13">
        <f>T40*Global_Params!$B$33</f>
        <v>0</v>
      </c>
    </row>
    <row r="41" ht="15.75" customHeight="1">
      <c r="A41" s="3">
        <v>5.0</v>
      </c>
      <c r="B41" s="3">
        <v>5.0</v>
      </c>
      <c r="C41" s="13">
        <f>MIN(Maps!$C$9-2,MAX(C40+2,ROUND(Maps!$C$9*Growth_Curve!$B$9/2,0)*2))</f>
        <v>34</v>
      </c>
      <c r="D41" s="13">
        <f>MIN(Maps!$D$9,MAX(D40,ROUND(Maps!$D$9*Growth_Curve!$B$9/2,0)*2))</f>
        <v>18</v>
      </c>
      <c r="E41" s="3">
        <f t="shared" si="1"/>
        <v>612</v>
      </c>
      <c r="F41" s="3">
        <f t="shared" si="12"/>
        <v>132</v>
      </c>
      <c r="G41" s="3">
        <f>ROUND(C41/2,0)+Global_Params!$B$16</f>
        <v>19</v>
      </c>
      <c r="H41" s="3">
        <f>ROUND(D41/2,0)+Global_Params!$B$16</f>
        <v>11</v>
      </c>
      <c r="I41" s="14" t="s">
        <v>309</v>
      </c>
      <c r="J41" s="13">
        <f>ROUND(Global_Params!$B$17*(1+Global_Params!$B$18*(B41-1))*Maps!$H$9,0)</f>
        <v>241</v>
      </c>
      <c r="K41" s="3">
        <f t="shared" si="2"/>
        <v>153</v>
      </c>
      <c r="L41" s="3">
        <f>ROUND(J41*(Global_Params!$B$19+(Global_Params!$B$20-Global_Params!$B$19)*(B41-1)/(Global_Params!$B$7-1)),0)</f>
        <v>52</v>
      </c>
      <c r="M41" s="13">
        <f>ROUND(J41*IF(Maps!$G$9="Yes",Global_Params!$B$21,0),0)</f>
        <v>36</v>
      </c>
      <c r="N41" s="3">
        <f t="shared" si="3"/>
        <v>14</v>
      </c>
      <c r="O41" s="13">
        <f>MAX(1,MIN(Global_Params!$B$26,ROUND(F41/50,0)))</f>
        <v>3</v>
      </c>
      <c r="P41" s="3">
        <f t="shared" si="4"/>
        <v>8</v>
      </c>
      <c r="Q41" s="13">
        <f>ROUND(E41/100*Global_Params!$B$25,0)</f>
        <v>257</v>
      </c>
      <c r="R41" s="13" t="str">
        <f>Maps!$F$9</f>
        <v>Crystals</v>
      </c>
      <c r="S41" s="19">
        <f>Growth_Curve!$B$9</f>
        <v>0.79</v>
      </c>
      <c r="T41" s="13">
        <f>IF(B41&lt;Global_Params!$B$30,0,MAX(1,ROUND(E41/260,0)))</f>
        <v>2</v>
      </c>
      <c r="U41" s="3" t="str">
        <f>IF(T41=0,"-","R")</f>
        <v>R</v>
      </c>
      <c r="V41" s="13">
        <f>IF(T41=0,0,ROUND(C41/2*Global_Params!$B$31,0))</f>
        <v>14</v>
      </c>
      <c r="W41" s="13">
        <f>IF(T41=0,0,ROUND(D41/2*Global_Params!$B$31,0))</f>
        <v>7</v>
      </c>
      <c r="X41" s="13">
        <f>IF(T41=0,0,Global_Params!$B$32)</f>
        <v>4</v>
      </c>
      <c r="Y41" s="13">
        <f>T41*Global_Params!$B$33</f>
        <v>20</v>
      </c>
    </row>
    <row r="42" ht="15.75" customHeight="1">
      <c r="A42" s="3">
        <v>5.0</v>
      </c>
      <c r="B42" s="3">
        <v>6.0</v>
      </c>
      <c r="C42" s="13">
        <f>MIN(Maps!$C$9-2,MAX(C41+2,ROUND(Maps!$C$9*Growth_Curve!$B$10/2,0)*2))</f>
        <v>40</v>
      </c>
      <c r="D42" s="13">
        <f>MIN(Maps!$D$9,MAX(D41,ROUND(Maps!$D$9*Growth_Curve!$B$10/2,0)*2))</f>
        <v>22</v>
      </c>
      <c r="E42" s="3">
        <f t="shared" si="1"/>
        <v>880</v>
      </c>
      <c r="F42" s="3">
        <f t="shared" si="12"/>
        <v>268</v>
      </c>
      <c r="G42" s="3">
        <f>ROUND(C42/2,0)+Global_Params!$B$16</f>
        <v>22</v>
      </c>
      <c r="H42" s="3">
        <f>ROUND(D42/2,0)+Global_Params!$B$16</f>
        <v>13</v>
      </c>
      <c r="I42" s="14" t="s">
        <v>310</v>
      </c>
      <c r="J42" s="13">
        <f>ROUND(Global_Params!$B$17*(1+Global_Params!$B$18*(B42-1))*Maps!$H$9,0)</f>
        <v>266</v>
      </c>
      <c r="K42" s="3">
        <f t="shared" si="2"/>
        <v>161</v>
      </c>
      <c r="L42" s="3">
        <f>ROUND(J42*(Global_Params!$B$19+(Global_Params!$B$20-Global_Params!$B$19)*(B42-1)/(Global_Params!$B$7-1)),0)</f>
        <v>65</v>
      </c>
      <c r="M42" s="13">
        <f>ROUND(J42*IF(Maps!$G$9="Yes",Global_Params!$B$21,0),0)</f>
        <v>40</v>
      </c>
      <c r="N42" s="3">
        <f t="shared" si="3"/>
        <v>20</v>
      </c>
      <c r="O42" s="13">
        <f>MAX(1,MIN(Global_Params!$B$26,ROUND(F42/50,0)))</f>
        <v>3</v>
      </c>
      <c r="P42" s="3">
        <f t="shared" si="4"/>
        <v>12</v>
      </c>
      <c r="Q42" s="13">
        <f>ROUND(E42/100*Global_Params!$B$25,0)</f>
        <v>370</v>
      </c>
      <c r="R42" s="13" t="str">
        <f>Maps!$F$9</f>
        <v>Crystals</v>
      </c>
      <c r="S42" s="19">
        <f>Growth_Curve!$B$10</f>
        <v>0.89</v>
      </c>
      <c r="T42" s="13">
        <f>IF(B42&lt;Global_Params!$B$30,0,MAX(1,ROUND(E42/260,0)))</f>
        <v>3</v>
      </c>
      <c r="U42" s="3" t="str">
        <f>IF(T42=0,"-","L")</f>
        <v>L</v>
      </c>
      <c r="V42" s="13">
        <f>IF(T42=0,0,ROUND(C42/2*Global_Params!$B$31,0))</f>
        <v>16</v>
      </c>
      <c r="W42" s="13">
        <f>IF(T42=0,0,ROUND(D42/2*Global_Params!$B$31,0))</f>
        <v>9</v>
      </c>
      <c r="X42" s="13">
        <f>IF(T42=0,0,Global_Params!$B$32)</f>
        <v>4</v>
      </c>
      <c r="Y42" s="13">
        <f>T42*Global_Params!$B$33</f>
        <v>30</v>
      </c>
    </row>
    <row r="43" ht="15.75" customHeight="1">
      <c r="A43" s="3">
        <v>5.0</v>
      </c>
      <c r="B43" s="3">
        <v>7.0</v>
      </c>
      <c r="C43" s="13">
        <f>MIN(Maps!$C$9-2,MAX(C42+2,ROUND(Maps!$C$9*Growth_Curve!$B$11/2,0)*2))</f>
        <v>42</v>
      </c>
      <c r="D43" s="13">
        <f>MIN(Maps!$D$9,MAX(D42,ROUND(Maps!$D$9*Growth_Curve!$B$11/2,0)*2))</f>
        <v>24</v>
      </c>
      <c r="E43" s="3">
        <f t="shared" si="1"/>
        <v>1008</v>
      </c>
      <c r="F43" s="3">
        <f t="shared" si="12"/>
        <v>128</v>
      </c>
      <c r="G43" s="3">
        <f>ROUND(C43/2,0)+Global_Params!$B$16</f>
        <v>23</v>
      </c>
      <c r="H43" s="3">
        <f>ROUND(D43/2,0)+Global_Params!$B$16</f>
        <v>14</v>
      </c>
      <c r="I43" s="14" t="s">
        <v>309</v>
      </c>
      <c r="J43" s="13">
        <f>ROUND(Global_Params!$B$17*(1+Global_Params!$B$18*(B43-1))*Maps!$H$9,0)</f>
        <v>291</v>
      </c>
      <c r="K43" s="3">
        <f t="shared" si="2"/>
        <v>168</v>
      </c>
      <c r="L43" s="3">
        <f>ROUND(J43*(Global_Params!$B$19+(Global_Params!$B$20-Global_Params!$B$19)*(B43-1)/(Global_Params!$B$7-1)),0)</f>
        <v>79</v>
      </c>
      <c r="M43" s="13">
        <f>ROUND(J43*IF(Maps!$G$9="Yes",Global_Params!$B$21,0),0)</f>
        <v>44</v>
      </c>
      <c r="N43" s="3">
        <f t="shared" si="3"/>
        <v>22</v>
      </c>
      <c r="O43" s="13">
        <f>MAX(1,MIN(Global_Params!$B$26,ROUND(F43/50,0)))</f>
        <v>3</v>
      </c>
      <c r="P43" s="3">
        <f t="shared" si="4"/>
        <v>13</v>
      </c>
      <c r="Q43" s="13">
        <f>ROUND(E43/100*Global_Params!$B$25,0)</f>
        <v>423</v>
      </c>
      <c r="R43" s="13" t="str">
        <f>Maps!$F$9</f>
        <v>Crystals</v>
      </c>
      <c r="S43" s="19">
        <f>Growth_Curve!$B$11</f>
        <v>0.96</v>
      </c>
      <c r="T43" s="13">
        <f>IF(B43&lt;Global_Params!$B$30,0,MAX(1,ROUND(E43/260,0)))</f>
        <v>4</v>
      </c>
      <c r="U43" s="3" t="str">
        <f>IF(T43=0,"-","R")</f>
        <v>R</v>
      </c>
      <c r="V43" s="13">
        <f>IF(T43=0,0,ROUND(C43/2*Global_Params!$B$31,0))</f>
        <v>17</v>
      </c>
      <c r="W43" s="13">
        <f>IF(T43=0,0,ROUND(D43/2*Global_Params!$B$31,0))</f>
        <v>10</v>
      </c>
      <c r="X43" s="13">
        <f>IF(T43=0,0,Global_Params!$B$32)</f>
        <v>4</v>
      </c>
      <c r="Y43" s="13">
        <f>T43*Global_Params!$B$33</f>
        <v>40</v>
      </c>
    </row>
    <row r="44" ht="15.75" customHeight="1">
      <c r="A44" s="3">
        <v>5.0</v>
      </c>
      <c r="B44" s="3">
        <v>8.0</v>
      </c>
      <c r="C44" s="13">
        <f>Maps!$C$9</f>
        <v>44</v>
      </c>
      <c r="D44" s="13">
        <f>Maps!$D$9</f>
        <v>24</v>
      </c>
      <c r="E44" s="3">
        <f t="shared" si="1"/>
        <v>1056</v>
      </c>
      <c r="F44" s="3">
        <f t="shared" si="12"/>
        <v>48</v>
      </c>
      <c r="G44" s="3">
        <f>ROUND(C44/2,0)+Global_Params!$B$16</f>
        <v>24</v>
      </c>
      <c r="H44" s="3">
        <f>ROUND(D44/2,0)+Global_Params!$B$16</f>
        <v>14</v>
      </c>
      <c r="I44" s="14" t="s">
        <v>310</v>
      </c>
      <c r="J44" s="13">
        <f>ROUND(Global_Params!$B$17*(1+Global_Params!$B$18*(B44-1))*Maps!$H$9,0)</f>
        <v>316</v>
      </c>
      <c r="K44" s="3">
        <f t="shared" si="2"/>
        <v>174</v>
      </c>
      <c r="L44" s="3">
        <f>ROUND(J44*(Global_Params!$B$19+(Global_Params!$B$20-Global_Params!$B$19)*(B44-1)/(Global_Params!$B$7-1)),0)</f>
        <v>95</v>
      </c>
      <c r="M44" s="13">
        <f>ROUND(J44*IF(Maps!$G$9="Yes",Global_Params!$B$21,0),0)</f>
        <v>47</v>
      </c>
      <c r="N44" s="3">
        <f t="shared" si="3"/>
        <v>23</v>
      </c>
      <c r="O44" s="13">
        <f>MAX(1,MIN(Global_Params!$B$26,ROUND(F44/50,0)))</f>
        <v>1</v>
      </c>
      <c r="P44" s="3">
        <f t="shared" si="4"/>
        <v>14</v>
      </c>
      <c r="Q44" s="13">
        <f>ROUND(E44/100*Global_Params!$B$25,0)</f>
        <v>444</v>
      </c>
      <c r="R44" s="13" t="str">
        <f>Maps!$F$9</f>
        <v>Crystals</v>
      </c>
      <c r="S44" s="19">
        <f>Growth_Curve!$B$12</f>
        <v>1</v>
      </c>
      <c r="T44" s="13">
        <f>IF(B44&lt;Global_Params!$B$30,0,MAX(1,ROUND(E44/260,0)))</f>
        <v>4</v>
      </c>
      <c r="U44" s="3" t="str">
        <f t="shared" ref="U44:U45" si="13">IF(T44=0,"-","L")</f>
        <v>L</v>
      </c>
      <c r="V44" s="13">
        <f>IF(T44=0,0,ROUND(C44/2*Global_Params!$B$31,0))</f>
        <v>18</v>
      </c>
      <c r="W44" s="13">
        <f>IF(T44=0,0,ROUND(D44/2*Global_Params!$B$31,0))</f>
        <v>10</v>
      </c>
      <c r="X44" s="13">
        <f>IF(T44=0,0,Global_Params!$B$32)</f>
        <v>4</v>
      </c>
      <c r="Y44" s="13">
        <f>T44*Global_Params!$B$33</f>
        <v>40</v>
      </c>
    </row>
    <row r="45" ht="15.75" customHeight="1">
      <c r="A45" s="20">
        <v>6.0</v>
      </c>
      <c r="B45" s="20">
        <v>1.0</v>
      </c>
      <c r="C45" s="21">
        <f>MIN(Maps!$C$10-2,ROUND(Maps!$C$10*Growth_Curve!$B$5/2,0)*2)</f>
        <v>20</v>
      </c>
      <c r="D45" s="21">
        <f>MIN(Maps!$D$10,ROUND(Maps!$D$10*Growth_Curve!$B$5/2,0)*2)</f>
        <v>10</v>
      </c>
      <c r="E45" s="20">
        <f t="shared" si="1"/>
        <v>200</v>
      </c>
      <c r="F45" s="20">
        <f>E45</f>
        <v>200</v>
      </c>
      <c r="G45" s="20">
        <f>ROUND(C45/2,0)+Global_Params!$B$16</f>
        <v>12</v>
      </c>
      <c r="H45" s="20">
        <f>ROUND(D45/2,0)+Global_Params!$B$16</f>
        <v>7</v>
      </c>
      <c r="I45" s="22" t="s">
        <v>310</v>
      </c>
      <c r="J45" s="21">
        <f>ROUND(Global_Params!$B$17*(1+Global_Params!$B$18*(B45-1))*Maps!$H$10,0)</f>
        <v>150</v>
      </c>
      <c r="K45" s="20">
        <f t="shared" si="2"/>
        <v>112</v>
      </c>
      <c r="L45" s="20">
        <f>ROUND(J45*(Global_Params!$B$19+(Global_Params!$B$20-Global_Params!$B$19)*(B45-1)/(Global_Params!$B$7-1)),0)</f>
        <v>15</v>
      </c>
      <c r="M45" s="21">
        <f>ROUND(J45*IF(Maps!$G$10="Yes",Global_Params!$B$21,0),0)</f>
        <v>23</v>
      </c>
      <c r="N45" s="20">
        <f t="shared" si="3"/>
        <v>4</v>
      </c>
      <c r="O45" s="20">
        <f>1</f>
        <v>1</v>
      </c>
      <c r="P45" s="20">
        <f t="shared" si="4"/>
        <v>2</v>
      </c>
      <c r="Q45" s="21">
        <f>ROUND(E45/100*Global_Params!$B$25,0)</f>
        <v>84</v>
      </c>
      <c r="R45" s="21" t="str">
        <f>Maps!$F$10</f>
        <v>Flowers</v>
      </c>
      <c r="S45" s="23">
        <f>Growth_Curve!$B$5</f>
        <v>0.4</v>
      </c>
      <c r="T45" s="21">
        <f>IF(B45&lt;Global_Params!$B$30,0,MAX(1,ROUND(E45/260,0)))</f>
        <v>0</v>
      </c>
      <c r="U45" s="20" t="str">
        <f t="shared" si="13"/>
        <v>-</v>
      </c>
      <c r="V45" s="21">
        <f>IF(T45=0,0,ROUND(C45/2*Global_Params!$B$31,0))</f>
        <v>0</v>
      </c>
      <c r="W45" s="21">
        <f>IF(T45=0,0,ROUND(D45/2*Global_Params!$B$31,0))</f>
        <v>0</v>
      </c>
      <c r="X45" s="21">
        <f>IF(T45=0,0,Global_Params!$B$32)</f>
        <v>0</v>
      </c>
      <c r="Y45" s="21">
        <f>T45*Global_Params!$B$33</f>
        <v>0</v>
      </c>
    </row>
    <row r="46" ht="15.75" customHeight="1">
      <c r="A46" s="20">
        <v>6.0</v>
      </c>
      <c r="B46" s="20">
        <v>2.0</v>
      </c>
      <c r="C46" s="21">
        <f>MIN(Maps!$C$10-2,MAX(C45+2,ROUND(Maps!$C$10*Growth_Curve!$B$6/2,0)*2))</f>
        <v>24</v>
      </c>
      <c r="D46" s="21">
        <f>MIN(Maps!$D$10,MAX(D45,ROUND(Maps!$D$10*Growth_Curve!$B$6/2,0)*2))</f>
        <v>12</v>
      </c>
      <c r="E46" s="20">
        <f t="shared" si="1"/>
        <v>288</v>
      </c>
      <c r="F46" s="20">
        <f t="shared" ref="F46:F52" si="14">E46-E45</f>
        <v>88</v>
      </c>
      <c r="G46" s="20">
        <f>ROUND(C46/2,0)+Global_Params!$B$16</f>
        <v>14</v>
      </c>
      <c r="H46" s="20">
        <f>ROUND(D46/2,0)+Global_Params!$B$16</f>
        <v>8</v>
      </c>
      <c r="I46" s="22" t="s">
        <v>311</v>
      </c>
      <c r="J46" s="21">
        <f>ROUND(Global_Params!$B$17*(1+Global_Params!$B$18*(B46-1))*Maps!$H$10,0)</f>
        <v>177</v>
      </c>
      <c r="K46" s="20">
        <f t="shared" si="2"/>
        <v>127</v>
      </c>
      <c r="L46" s="20">
        <f>ROUND(J46*(Global_Params!$B$19+(Global_Params!$B$20-Global_Params!$B$19)*(B46-1)/(Global_Params!$B$7-1)),0)</f>
        <v>23</v>
      </c>
      <c r="M46" s="21">
        <f>ROUND(J46*IF(Maps!$G$10="Yes",Global_Params!$B$21,0),0)</f>
        <v>27</v>
      </c>
      <c r="N46" s="20">
        <f t="shared" si="3"/>
        <v>6</v>
      </c>
      <c r="O46" s="21">
        <f>MAX(1,MIN(Global_Params!$B$26,ROUND(F46/50,0)))</f>
        <v>2</v>
      </c>
      <c r="P46" s="20">
        <f t="shared" si="4"/>
        <v>4</v>
      </c>
      <c r="Q46" s="21">
        <f>ROUND(E46/100*Global_Params!$B$25,0)</f>
        <v>121</v>
      </c>
      <c r="R46" s="21" t="str">
        <f>Maps!$F$10</f>
        <v>Flowers</v>
      </c>
      <c r="S46" s="23">
        <f>Growth_Curve!$B$6</f>
        <v>0.46</v>
      </c>
      <c r="T46" s="21">
        <f>IF(B46&lt;Global_Params!$B$30,0,MAX(1,ROUND(E46/260,0)))</f>
        <v>0</v>
      </c>
      <c r="U46" s="20" t="str">
        <f>IF(T46=0,"-","B")</f>
        <v>-</v>
      </c>
      <c r="V46" s="21">
        <f>IF(T46=0,0,ROUND(C46/2*Global_Params!$B$31,0))</f>
        <v>0</v>
      </c>
      <c r="W46" s="21">
        <f>IF(T46=0,0,ROUND(D46/2*Global_Params!$B$31,0))</f>
        <v>0</v>
      </c>
      <c r="X46" s="21">
        <f>IF(T46=0,0,Global_Params!$B$32)</f>
        <v>0</v>
      </c>
      <c r="Y46" s="21">
        <f>T46*Global_Params!$B$33</f>
        <v>0</v>
      </c>
    </row>
    <row r="47" ht="15.75" customHeight="1">
      <c r="A47" s="20">
        <v>6.0</v>
      </c>
      <c r="B47" s="20">
        <v>3.0</v>
      </c>
      <c r="C47" s="21">
        <f>MIN(Maps!$C$10-2,MAX(C46+2,ROUND(Maps!$C$10*Growth_Curve!$B$7/2,0)*2))</f>
        <v>28</v>
      </c>
      <c r="D47" s="21">
        <f>MIN(Maps!$D$10,MAX(D46,ROUND(Maps!$D$10*Growth_Curve!$B$7/2,0)*2))</f>
        <v>14</v>
      </c>
      <c r="E47" s="20">
        <f t="shared" si="1"/>
        <v>392</v>
      </c>
      <c r="F47" s="20">
        <f t="shared" si="14"/>
        <v>104</v>
      </c>
      <c r="G47" s="20">
        <f>ROUND(C47/2,0)+Global_Params!$B$16</f>
        <v>16</v>
      </c>
      <c r="H47" s="20">
        <f>ROUND(D47/2,0)+Global_Params!$B$16</f>
        <v>9</v>
      </c>
      <c r="I47" s="22" t="s">
        <v>312</v>
      </c>
      <c r="J47" s="21">
        <f>ROUND(Global_Params!$B$17*(1+Global_Params!$B$18*(B47-1))*Maps!$H$10,0)</f>
        <v>204</v>
      </c>
      <c r="K47" s="20">
        <f t="shared" si="2"/>
        <v>141</v>
      </c>
      <c r="L47" s="20">
        <f>ROUND(J47*(Global_Params!$B$19+(Global_Params!$B$20-Global_Params!$B$19)*(B47-1)/(Global_Params!$B$7-1)),0)</f>
        <v>32</v>
      </c>
      <c r="M47" s="21">
        <f>ROUND(J47*IF(Maps!$G$10="Yes",Global_Params!$B$21,0),0)</f>
        <v>31</v>
      </c>
      <c r="N47" s="20">
        <f t="shared" si="3"/>
        <v>9</v>
      </c>
      <c r="O47" s="21">
        <f>MAX(1,MIN(Global_Params!$B$26,ROUND(F47/50,0)))</f>
        <v>2</v>
      </c>
      <c r="P47" s="20">
        <f t="shared" si="4"/>
        <v>5</v>
      </c>
      <c r="Q47" s="21">
        <f>ROUND(E47/100*Global_Params!$B$25,0)</f>
        <v>165</v>
      </c>
      <c r="R47" s="21" t="str">
        <f>Maps!$F$10</f>
        <v>Flowers</v>
      </c>
      <c r="S47" s="23">
        <f>Growth_Curve!$B$7</f>
        <v>0.54</v>
      </c>
      <c r="T47" s="21">
        <f>IF(B47&lt;Global_Params!$B$30,0,MAX(1,ROUND(E47/260,0)))</f>
        <v>0</v>
      </c>
      <c r="U47" s="20" t="str">
        <f>IF(T47=0,"-","T")</f>
        <v>-</v>
      </c>
      <c r="V47" s="21">
        <f>IF(T47=0,0,ROUND(C47/2*Global_Params!$B$31,0))</f>
        <v>0</v>
      </c>
      <c r="W47" s="21">
        <f>IF(T47=0,0,ROUND(D47/2*Global_Params!$B$31,0))</f>
        <v>0</v>
      </c>
      <c r="X47" s="21">
        <f>IF(T47=0,0,Global_Params!$B$32)</f>
        <v>0</v>
      </c>
      <c r="Y47" s="21">
        <f>T47*Global_Params!$B$33</f>
        <v>0</v>
      </c>
    </row>
    <row r="48" ht="15.75" customHeight="1">
      <c r="A48" s="20">
        <v>6.0</v>
      </c>
      <c r="B48" s="20">
        <v>4.0</v>
      </c>
      <c r="C48" s="21">
        <f>MIN(Maps!$C$10-2,MAX(C47+2,ROUND(Maps!$C$10*Growth_Curve!$B$8/2,0)*2))</f>
        <v>34</v>
      </c>
      <c r="D48" s="21">
        <f>MIN(Maps!$D$10,MAX(D47,ROUND(Maps!$D$10*Growth_Curve!$B$8/2,0)*2))</f>
        <v>18</v>
      </c>
      <c r="E48" s="20">
        <f t="shared" si="1"/>
        <v>612</v>
      </c>
      <c r="F48" s="20">
        <f t="shared" si="14"/>
        <v>220</v>
      </c>
      <c r="G48" s="20">
        <f>ROUND(C48/2,0)+Global_Params!$B$16</f>
        <v>19</v>
      </c>
      <c r="H48" s="20">
        <f>ROUND(D48/2,0)+Global_Params!$B$16</f>
        <v>11</v>
      </c>
      <c r="I48" s="22" t="s">
        <v>309</v>
      </c>
      <c r="J48" s="21">
        <f>ROUND(Global_Params!$B$17*(1+Global_Params!$B$18*(B48-1))*Maps!$H$10,0)</f>
        <v>231</v>
      </c>
      <c r="K48" s="20">
        <f t="shared" si="2"/>
        <v>153</v>
      </c>
      <c r="L48" s="20">
        <f>ROUND(J48*(Global_Params!$B$19+(Global_Params!$B$20-Global_Params!$B$19)*(B48-1)/(Global_Params!$B$7-1)),0)</f>
        <v>43</v>
      </c>
      <c r="M48" s="21">
        <f>ROUND(J48*IF(Maps!$G$10="Yes",Global_Params!$B$21,0),0)</f>
        <v>35</v>
      </c>
      <c r="N48" s="20">
        <f t="shared" si="3"/>
        <v>14</v>
      </c>
      <c r="O48" s="21">
        <f>MAX(1,MIN(Global_Params!$B$26,ROUND(F48/50,0)))</f>
        <v>3</v>
      </c>
      <c r="P48" s="20">
        <f t="shared" si="4"/>
        <v>8</v>
      </c>
      <c r="Q48" s="21">
        <f>ROUND(E48/100*Global_Params!$B$25,0)</f>
        <v>257</v>
      </c>
      <c r="R48" s="21" t="str">
        <f>Maps!$F$10</f>
        <v>Flowers</v>
      </c>
      <c r="S48" s="23">
        <f>Growth_Curve!$B$8</f>
        <v>0.66</v>
      </c>
      <c r="T48" s="21">
        <f>IF(B48&lt;Global_Params!$B$30,0,MAX(1,ROUND(E48/260,0)))</f>
        <v>0</v>
      </c>
      <c r="U48" s="20" t="str">
        <f>IF(T48=0,"-","R")</f>
        <v>-</v>
      </c>
      <c r="V48" s="21">
        <f>IF(T48=0,0,ROUND(C48/2*Global_Params!$B$31,0))</f>
        <v>0</v>
      </c>
      <c r="W48" s="21">
        <f>IF(T48=0,0,ROUND(D48/2*Global_Params!$B$31,0))</f>
        <v>0</v>
      </c>
      <c r="X48" s="21">
        <f>IF(T48=0,0,Global_Params!$B$32)</f>
        <v>0</v>
      </c>
      <c r="Y48" s="21">
        <f>T48*Global_Params!$B$33</f>
        <v>0</v>
      </c>
    </row>
    <row r="49" ht="15.75" customHeight="1">
      <c r="A49" s="20">
        <v>6.0</v>
      </c>
      <c r="B49" s="20">
        <v>5.0</v>
      </c>
      <c r="C49" s="21">
        <f>MIN(Maps!$C$10-2,MAX(C48+2,ROUND(Maps!$C$10*Growth_Curve!$B$9/2,0)*2))</f>
        <v>40</v>
      </c>
      <c r="D49" s="21">
        <f>MIN(Maps!$D$10,MAX(D48,ROUND(Maps!$D$10*Growth_Curve!$B$9/2,0)*2))</f>
        <v>20</v>
      </c>
      <c r="E49" s="20">
        <f t="shared" si="1"/>
        <v>800</v>
      </c>
      <c r="F49" s="20">
        <f t="shared" si="14"/>
        <v>188</v>
      </c>
      <c r="G49" s="20">
        <f>ROUND(C49/2,0)+Global_Params!$B$16</f>
        <v>22</v>
      </c>
      <c r="H49" s="20">
        <f>ROUND(D49/2,0)+Global_Params!$B$16</f>
        <v>12</v>
      </c>
      <c r="I49" s="22" t="s">
        <v>310</v>
      </c>
      <c r="J49" s="21">
        <f>ROUND(Global_Params!$B$17*(1+Global_Params!$B$18*(B49-1))*Maps!$H$10,0)</f>
        <v>258</v>
      </c>
      <c r="K49" s="20">
        <f t="shared" si="2"/>
        <v>164</v>
      </c>
      <c r="L49" s="20">
        <f>ROUND(J49*(Global_Params!$B$19+(Global_Params!$B$20-Global_Params!$B$19)*(B49-1)/(Global_Params!$B$7-1)),0)</f>
        <v>55</v>
      </c>
      <c r="M49" s="21">
        <f>ROUND(J49*IF(Maps!$G$10="Yes",Global_Params!$B$21,0),0)</f>
        <v>39</v>
      </c>
      <c r="N49" s="20">
        <f t="shared" si="3"/>
        <v>18</v>
      </c>
      <c r="O49" s="21">
        <f>MAX(1,MIN(Global_Params!$B$26,ROUND(F49/50,0)))</f>
        <v>3</v>
      </c>
      <c r="P49" s="20">
        <f t="shared" si="4"/>
        <v>11</v>
      </c>
      <c r="Q49" s="21">
        <f>ROUND(E49/100*Global_Params!$B$25,0)</f>
        <v>336</v>
      </c>
      <c r="R49" s="21" t="str">
        <f>Maps!$F$10</f>
        <v>Flowers</v>
      </c>
      <c r="S49" s="23">
        <f>Growth_Curve!$B$9</f>
        <v>0.79</v>
      </c>
      <c r="T49" s="21">
        <f>IF(B49&lt;Global_Params!$B$30,0,MAX(1,ROUND(E49/260,0)))</f>
        <v>3</v>
      </c>
      <c r="U49" s="20" t="str">
        <f>IF(T49=0,"-","L")</f>
        <v>L</v>
      </c>
      <c r="V49" s="21">
        <f>IF(T49=0,0,ROUND(C49/2*Global_Params!$B$31,0))</f>
        <v>16</v>
      </c>
      <c r="W49" s="21">
        <f>IF(T49=0,0,ROUND(D49/2*Global_Params!$B$31,0))</f>
        <v>8</v>
      </c>
      <c r="X49" s="21">
        <f>IF(T49=0,0,Global_Params!$B$32)</f>
        <v>4</v>
      </c>
      <c r="Y49" s="21">
        <f>T49*Global_Params!$B$33</f>
        <v>30</v>
      </c>
    </row>
    <row r="50" ht="15.75" customHeight="1">
      <c r="A50" s="20">
        <v>6.0</v>
      </c>
      <c r="B50" s="20">
        <v>6.0</v>
      </c>
      <c r="C50" s="21">
        <f>MIN(Maps!$C$10-2,MAX(C49+2,ROUND(Maps!$C$10*Growth_Curve!$B$10/2,0)*2))</f>
        <v>44</v>
      </c>
      <c r="D50" s="21">
        <f>MIN(Maps!$D$10,MAX(D49,ROUND(Maps!$D$10*Growth_Curve!$B$10/2,0)*2))</f>
        <v>24</v>
      </c>
      <c r="E50" s="20">
        <f t="shared" si="1"/>
        <v>1056</v>
      </c>
      <c r="F50" s="20">
        <f t="shared" si="14"/>
        <v>256</v>
      </c>
      <c r="G50" s="20">
        <f>ROUND(C50/2,0)+Global_Params!$B$16</f>
        <v>24</v>
      </c>
      <c r="H50" s="20">
        <f>ROUND(D50/2,0)+Global_Params!$B$16</f>
        <v>14</v>
      </c>
      <c r="I50" s="22" t="s">
        <v>309</v>
      </c>
      <c r="J50" s="21">
        <f>ROUND(Global_Params!$B$17*(1+Global_Params!$B$18*(B50-1))*Maps!$H$10,0)</f>
        <v>285</v>
      </c>
      <c r="K50" s="20">
        <f t="shared" si="2"/>
        <v>173</v>
      </c>
      <c r="L50" s="20">
        <f>ROUND(J50*(Global_Params!$B$19+(Global_Params!$B$20-Global_Params!$B$19)*(B50-1)/(Global_Params!$B$7-1)),0)</f>
        <v>69</v>
      </c>
      <c r="M50" s="21">
        <f>ROUND(J50*IF(Maps!$G$10="Yes",Global_Params!$B$21,0),0)</f>
        <v>43</v>
      </c>
      <c r="N50" s="20">
        <f t="shared" si="3"/>
        <v>23</v>
      </c>
      <c r="O50" s="21">
        <f>MAX(1,MIN(Global_Params!$B$26,ROUND(F50/50,0)))</f>
        <v>3</v>
      </c>
      <c r="P50" s="20">
        <f t="shared" si="4"/>
        <v>14</v>
      </c>
      <c r="Q50" s="21">
        <f>ROUND(E50/100*Global_Params!$B$25,0)</f>
        <v>444</v>
      </c>
      <c r="R50" s="21" t="str">
        <f>Maps!$F$10</f>
        <v>Flowers</v>
      </c>
      <c r="S50" s="23">
        <f>Growth_Curve!$B$10</f>
        <v>0.89</v>
      </c>
      <c r="T50" s="21">
        <f>IF(B50&lt;Global_Params!$B$30,0,MAX(1,ROUND(E50/260,0)))</f>
        <v>4</v>
      </c>
      <c r="U50" s="20" t="str">
        <f>IF(T50=0,"-","R")</f>
        <v>R</v>
      </c>
      <c r="V50" s="21">
        <f>IF(T50=0,0,ROUND(C50/2*Global_Params!$B$31,0))</f>
        <v>18</v>
      </c>
      <c r="W50" s="21">
        <f>IF(T50=0,0,ROUND(D50/2*Global_Params!$B$31,0))</f>
        <v>10</v>
      </c>
      <c r="X50" s="21">
        <f>IF(T50=0,0,Global_Params!$B$32)</f>
        <v>4</v>
      </c>
      <c r="Y50" s="21">
        <f>T50*Global_Params!$B$33</f>
        <v>40</v>
      </c>
    </row>
    <row r="51" ht="15.75" customHeight="1">
      <c r="A51" s="20">
        <v>6.0</v>
      </c>
      <c r="B51" s="20">
        <v>7.0</v>
      </c>
      <c r="C51" s="21">
        <f>MIN(Maps!$C$10-2,MAX(C50+2,ROUND(Maps!$C$10*Growth_Curve!$B$11/2,0)*2))</f>
        <v>48</v>
      </c>
      <c r="D51" s="21">
        <f>MIN(Maps!$D$10,MAX(D50,ROUND(Maps!$D$10*Growth_Curve!$B$11/2,0)*2))</f>
        <v>24</v>
      </c>
      <c r="E51" s="20">
        <f t="shared" si="1"/>
        <v>1152</v>
      </c>
      <c r="F51" s="20">
        <f t="shared" si="14"/>
        <v>96</v>
      </c>
      <c r="G51" s="20">
        <f>ROUND(C51/2,0)+Global_Params!$B$16</f>
        <v>26</v>
      </c>
      <c r="H51" s="20">
        <f>ROUND(D51/2,0)+Global_Params!$B$16</f>
        <v>14</v>
      </c>
      <c r="I51" s="22" t="s">
        <v>310</v>
      </c>
      <c r="J51" s="21">
        <f>ROUND(Global_Params!$B$17*(1+Global_Params!$B$18*(B51-1))*Maps!$H$10,0)</f>
        <v>312</v>
      </c>
      <c r="K51" s="20">
        <f t="shared" si="2"/>
        <v>180</v>
      </c>
      <c r="L51" s="20">
        <f>ROUND(J51*(Global_Params!$B$19+(Global_Params!$B$20-Global_Params!$B$19)*(B51-1)/(Global_Params!$B$7-1)),0)</f>
        <v>85</v>
      </c>
      <c r="M51" s="21">
        <f>ROUND(J51*IF(Maps!$G$10="Yes",Global_Params!$B$21,0),0)</f>
        <v>47</v>
      </c>
      <c r="N51" s="20">
        <f t="shared" si="3"/>
        <v>26</v>
      </c>
      <c r="O51" s="21">
        <f>MAX(1,MIN(Global_Params!$B$26,ROUND(F51/50,0)))</f>
        <v>2</v>
      </c>
      <c r="P51" s="20">
        <f t="shared" si="4"/>
        <v>16</v>
      </c>
      <c r="Q51" s="21">
        <f>ROUND(E51/100*Global_Params!$B$25,0)</f>
        <v>484</v>
      </c>
      <c r="R51" s="21" t="str">
        <f>Maps!$F$10</f>
        <v>Flowers</v>
      </c>
      <c r="S51" s="23">
        <f>Growth_Curve!$B$11</f>
        <v>0.96</v>
      </c>
      <c r="T51" s="21">
        <f>IF(B51&lt;Global_Params!$B$30,0,MAX(1,ROUND(E51/260,0)))</f>
        <v>4</v>
      </c>
      <c r="U51" s="20" t="str">
        <f>IF(T51=0,"-","L")</f>
        <v>L</v>
      </c>
      <c r="V51" s="21">
        <f>IF(T51=0,0,ROUND(C51/2*Global_Params!$B$31,0))</f>
        <v>19</v>
      </c>
      <c r="W51" s="21">
        <f>IF(T51=0,0,ROUND(D51/2*Global_Params!$B$31,0))</f>
        <v>10</v>
      </c>
      <c r="X51" s="21">
        <f>IF(T51=0,0,Global_Params!$B$32)</f>
        <v>4</v>
      </c>
      <c r="Y51" s="21">
        <f>T51*Global_Params!$B$33</f>
        <v>40</v>
      </c>
    </row>
    <row r="52" ht="15.75" customHeight="1">
      <c r="A52" s="20">
        <v>6.0</v>
      </c>
      <c r="B52" s="20">
        <v>8.0</v>
      </c>
      <c r="C52" s="21">
        <f>Maps!$C$10</f>
        <v>50</v>
      </c>
      <c r="D52" s="21">
        <f>Maps!$D$10</f>
        <v>26</v>
      </c>
      <c r="E52" s="20">
        <f t="shared" si="1"/>
        <v>1300</v>
      </c>
      <c r="F52" s="20">
        <f t="shared" si="14"/>
        <v>148</v>
      </c>
      <c r="G52" s="20">
        <f>ROUND(C52/2,0)+Global_Params!$B$16</f>
        <v>27</v>
      </c>
      <c r="H52" s="20">
        <f>ROUND(D52/2,0)+Global_Params!$B$16</f>
        <v>15</v>
      </c>
      <c r="I52" s="22" t="s">
        <v>309</v>
      </c>
      <c r="J52" s="21">
        <f>ROUND(Global_Params!$B$17*(1+Global_Params!$B$18*(B52-1))*Maps!$H$10,0)</f>
        <v>339</v>
      </c>
      <c r="K52" s="20">
        <f t="shared" si="2"/>
        <v>186</v>
      </c>
      <c r="L52" s="20">
        <f>ROUND(J52*(Global_Params!$B$19+(Global_Params!$B$20-Global_Params!$B$19)*(B52-1)/(Global_Params!$B$7-1)),0)</f>
        <v>102</v>
      </c>
      <c r="M52" s="21">
        <f>ROUND(J52*IF(Maps!$G$10="Yes",Global_Params!$B$21,0),0)</f>
        <v>51</v>
      </c>
      <c r="N52" s="20">
        <f t="shared" si="3"/>
        <v>29</v>
      </c>
      <c r="O52" s="21">
        <f>MAX(1,MIN(Global_Params!$B$26,ROUND(F52/50,0)))</f>
        <v>3</v>
      </c>
      <c r="P52" s="20">
        <f t="shared" si="4"/>
        <v>17</v>
      </c>
      <c r="Q52" s="21">
        <f>ROUND(E52/100*Global_Params!$B$25,0)</f>
        <v>546</v>
      </c>
      <c r="R52" s="21" t="str">
        <f>Maps!$F$10</f>
        <v>Flowers</v>
      </c>
      <c r="S52" s="23">
        <f>Growth_Curve!$B$12</f>
        <v>1</v>
      </c>
      <c r="T52" s="21">
        <f>IF(B52&lt;Global_Params!$B$30,0,MAX(1,ROUND(E52/260,0)))</f>
        <v>5</v>
      </c>
      <c r="U52" s="20" t="str">
        <f>IF(T52=0,"-","R")</f>
        <v>R</v>
      </c>
      <c r="V52" s="21">
        <f>IF(T52=0,0,ROUND(C52/2*Global_Params!$B$31,0))</f>
        <v>20</v>
      </c>
      <c r="W52" s="21">
        <f>IF(T52=0,0,ROUND(D52/2*Global_Params!$B$31,0))</f>
        <v>10</v>
      </c>
      <c r="X52" s="21">
        <f>IF(T52=0,0,Global_Params!$B$32)</f>
        <v>4</v>
      </c>
      <c r="Y52" s="21">
        <f>T52*Global_Params!$B$33</f>
        <v>50</v>
      </c>
    </row>
    <row r="53" ht="15.75" customHeight="1">
      <c r="A53" s="3">
        <v>7.0</v>
      </c>
      <c r="B53" s="3">
        <v>1.0</v>
      </c>
      <c r="C53" s="13">
        <f>MIN(Maps!$C$11-2,ROUND(Maps!$C$11*Growth_Curve!$B$5/2,0)*2)</f>
        <v>22</v>
      </c>
      <c r="D53" s="13">
        <f>MIN(Maps!$D$11,ROUND(Maps!$D$11*Growth_Curve!$B$5/2,0)*2)</f>
        <v>12</v>
      </c>
      <c r="E53" s="3">
        <f t="shared" si="1"/>
        <v>264</v>
      </c>
      <c r="F53" s="3">
        <f>E53</f>
        <v>264</v>
      </c>
      <c r="G53" s="3">
        <f>ROUND(C53/2,0)+Global_Params!$B$16</f>
        <v>13</v>
      </c>
      <c r="H53" s="3">
        <f>ROUND(D53/2,0)+Global_Params!$B$16</f>
        <v>8</v>
      </c>
      <c r="I53" s="14" t="s">
        <v>311</v>
      </c>
      <c r="J53" s="13">
        <f>ROUND(Global_Params!$B$17*(1+Global_Params!$B$18*(B53-1))*Maps!$H$11,0)</f>
        <v>160</v>
      </c>
      <c r="K53" s="3">
        <f t="shared" si="2"/>
        <v>144</v>
      </c>
      <c r="L53" s="3">
        <f>ROUND(J53*(Global_Params!$B$19+(Global_Params!$B$20-Global_Params!$B$19)*(B53-1)/(Global_Params!$B$7-1)),0)</f>
        <v>16</v>
      </c>
      <c r="M53" s="13">
        <f>ROUND(J53*IF(Maps!$G$11="Yes",Global_Params!$B$21,0),0)</f>
        <v>0</v>
      </c>
      <c r="N53" s="3">
        <f t="shared" si="3"/>
        <v>6</v>
      </c>
      <c r="O53" s="3">
        <f>1</f>
        <v>1</v>
      </c>
      <c r="P53" s="3">
        <f t="shared" si="4"/>
        <v>4</v>
      </c>
      <c r="Q53" s="13">
        <f>ROUND(E53/100*Global_Params!$B$25,0)</f>
        <v>111</v>
      </c>
      <c r="R53" s="13" t="str">
        <f>Maps!$F$11</f>
        <v>Minerals</v>
      </c>
      <c r="S53" s="19">
        <f>Growth_Curve!$B$5</f>
        <v>0.4</v>
      </c>
      <c r="T53" s="13">
        <f>IF(B53&lt;Global_Params!$B$30,0,MAX(1,ROUND(E53/260,0)))</f>
        <v>0</v>
      </c>
      <c r="U53" s="3" t="str">
        <f>IF(T53=0,"-","B")</f>
        <v>-</v>
      </c>
      <c r="V53" s="13">
        <f>IF(T53=0,0,ROUND(C53/2*Global_Params!$B$31,0))</f>
        <v>0</v>
      </c>
      <c r="W53" s="13">
        <f>IF(T53=0,0,ROUND(D53/2*Global_Params!$B$31,0))</f>
        <v>0</v>
      </c>
      <c r="X53" s="13">
        <f>IF(T53=0,0,Global_Params!$B$32)</f>
        <v>0</v>
      </c>
      <c r="Y53" s="13">
        <f>T53*Global_Params!$B$33</f>
        <v>0</v>
      </c>
    </row>
    <row r="54" ht="15.75" customHeight="1">
      <c r="A54" s="3">
        <v>7.0</v>
      </c>
      <c r="B54" s="3">
        <v>2.0</v>
      </c>
      <c r="C54" s="13">
        <f>MIN(Maps!$C$11-2,MAX(C53+2,ROUND(Maps!$C$11*Growth_Curve!$B$6/2,0)*2))</f>
        <v>24</v>
      </c>
      <c r="D54" s="13">
        <f>MIN(Maps!$D$11,MAX(D53,ROUND(Maps!$D$11*Growth_Curve!$B$6/2,0)*2))</f>
        <v>12</v>
      </c>
      <c r="E54" s="3">
        <f t="shared" si="1"/>
        <v>288</v>
      </c>
      <c r="F54" s="3">
        <f t="shared" ref="F54:F60" si="15">E54-E53</f>
        <v>24</v>
      </c>
      <c r="G54" s="3">
        <f>ROUND(C54/2,0)+Global_Params!$B$16</f>
        <v>14</v>
      </c>
      <c r="H54" s="3">
        <f>ROUND(D54/2,0)+Global_Params!$B$16</f>
        <v>8</v>
      </c>
      <c r="I54" s="14" t="s">
        <v>312</v>
      </c>
      <c r="J54" s="13">
        <f>ROUND(Global_Params!$B$17*(1+Global_Params!$B$18*(B54-1))*Maps!$H$11,0)</f>
        <v>189</v>
      </c>
      <c r="K54" s="3">
        <f t="shared" si="2"/>
        <v>165</v>
      </c>
      <c r="L54" s="3">
        <f>ROUND(J54*(Global_Params!$B$19+(Global_Params!$B$20-Global_Params!$B$19)*(B54-1)/(Global_Params!$B$7-1)),0)</f>
        <v>24</v>
      </c>
      <c r="M54" s="13">
        <f>ROUND(J54*IF(Maps!$G$11="Yes",Global_Params!$B$21,0),0)</f>
        <v>0</v>
      </c>
      <c r="N54" s="3">
        <f t="shared" si="3"/>
        <v>6</v>
      </c>
      <c r="O54" s="13">
        <f>MAX(1,MIN(Global_Params!$B$26,ROUND(F54/50,0)))</f>
        <v>1</v>
      </c>
      <c r="P54" s="3">
        <f t="shared" si="4"/>
        <v>4</v>
      </c>
      <c r="Q54" s="13">
        <f>ROUND(E54/100*Global_Params!$B$25,0)</f>
        <v>121</v>
      </c>
      <c r="R54" s="13" t="str">
        <f>Maps!$F$11</f>
        <v>Minerals</v>
      </c>
      <c r="S54" s="19">
        <f>Growth_Curve!$B$6</f>
        <v>0.46</v>
      </c>
      <c r="T54" s="13">
        <f>IF(B54&lt;Global_Params!$B$30,0,MAX(1,ROUND(E54/260,0)))</f>
        <v>0</v>
      </c>
      <c r="U54" s="3" t="str">
        <f>IF(T54=0,"-","T")</f>
        <v>-</v>
      </c>
      <c r="V54" s="13">
        <f>IF(T54=0,0,ROUND(C54/2*Global_Params!$B$31,0))</f>
        <v>0</v>
      </c>
      <c r="W54" s="13">
        <f>IF(T54=0,0,ROUND(D54/2*Global_Params!$B$31,0))</f>
        <v>0</v>
      </c>
      <c r="X54" s="13">
        <f>IF(T54=0,0,Global_Params!$B$32)</f>
        <v>0</v>
      </c>
      <c r="Y54" s="13">
        <f>T54*Global_Params!$B$33</f>
        <v>0</v>
      </c>
    </row>
    <row r="55" ht="15.75" customHeight="1">
      <c r="A55" s="3">
        <v>7.0</v>
      </c>
      <c r="B55" s="3">
        <v>3.0</v>
      </c>
      <c r="C55" s="13">
        <f>MIN(Maps!$C$11-2,MAX(C54+2,ROUND(Maps!$C$11*Growth_Curve!$B$7/2,0)*2))</f>
        <v>30</v>
      </c>
      <c r="D55" s="13">
        <f>MIN(Maps!$D$11,MAX(D54,ROUND(Maps!$D$11*Growth_Curve!$B$7/2,0)*2))</f>
        <v>16</v>
      </c>
      <c r="E55" s="3">
        <f t="shared" si="1"/>
        <v>480</v>
      </c>
      <c r="F55" s="3">
        <f t="shared" si="15"/>
        <v>192</v>
      </c>
      <c r="G55" s="3">
        <f>ROUND(C55/2,0)+Global_Params!$B$16</f>
        <v>17</v>
      </c>
      <c r="H55" s="3">
        <f>ROUND(D55/2,0)+Global_Params!$B$16</f>
        <v>10</v>
      </c>
      <c r="I55" s="14" t="s">
        <v>309</v>
      </c>
      <c r="J55" s="13">
        <f>ROUND(Global_Params!$B$17*(1+Global_Params!$B$18*(B55-1))*Maps!$H$11,0)</f>
        <v>218</v>
      </c>
      <c r="K55" s="3">
        <f t="shared" si="2"/>
        <v>184</v>
      </c>
      <c r="L55" s="3">
        <f>ROUND(J55*(Global_Params!$B$19+(Global_Params!$B$20-Global_Params!$B$19)*(B55-1)/(Global_Params!$B$7-1)),0)</f>
        <v>34</v>
      </c>
      <c r="M55" s="13">
        <f>ROUND(J55*IF(Maps!$G$11="Yes",Global_Params!$B$21,0),0)</f>
        <v>0</v>
      </c>
      <c r="N55" s="3">
        <f t="shared" si="3"/>
        <v>11</v>
      </c>
      <c r="O55" s="13">
        <f>MAX(1,MIN(Global_Params!$B$26,ROUND(F55/50,0)))</f>
        <v>3</v>
      </c>
      <c r="P55" s="3">
        <f t="shared" si="4"/>
        <v>7</v>
      </c>
      <c r="Q55" s="13">
        <f>ROUND(E55/100*Global_Params!$B$25,0)</f>
        <v>202</v>
      </c>
      <c r="R55" s="13" t="str">
        <f>Maps!$F$11</f>
        <v>Minerals</v>
      </c>
      <c r="S55" s="19">
        <f>Growth_Curve!$B$7</f>
        <v>0.54</v>
      </c>
      <c r="T55" s="13">
        <f>IF(B55&lt;Global_Params!$B$30,0,MAX(1,ROUND(E55/260,0)))</f>
        <v>0</v>
      </c>
      <c r="U55" s="3" t="str">
        <f>IF(T55=0,"-","R")</f>
        <v>-</v>
      </c>
      <c r="V55" s="13">
        <f>IF(T55=0,0,ROUND(C55/2*Global_Params!$B$31,0))</f>
        <v>0</v>
      </c>
      <c r="W55" s="13">
        <f>IF(T55=0,0,ROUND(D55/2*Global_Params!$B$31,0))</f>
        <v>0</v>
      </c>
      <c r="X55" s="13">
        <f>IF(T55=0,0,Global_Params!$B$32)</f>
        <v>0</v>
      </c>
      <c r="Y55" s="13">
        <f>T55*Global_Params!$B$33</f>
        <v>0</v>
      </c>
    </row>
    <row r="56" ht="15.75" customHeight="1">
      <c r="A56" s="3">
        <v>7.0</v>
      </c>
      <c r="B56" s="3">
        <v>4.0</v>
      </c>
      <c r="C56" s="13">
        <f>MIN(Maps!$C$11-2,MAX(C55+2,ROUND(Maps!$C$11*Growth_Curve!$B$8/2,0)*2))</f>
        <v>36</v>
      </c>
      <c r="D56" s="13">
        <f>MIN(Maps!$D$11,MAX(D55,ROUND(Maps!$D$11*Growth_Curve!$B$8/2,0)*2))</f>
        <v>18</v>
      </c>
      <c r="E56" s="3">
        <f t="shared" si="1"/>
        <v>648</v>
      </c>
      <c r="F56" s="3">
        <f t="shared" si="15"/>
        <v>168</v>
      </c>
      <c r="G56" s="3">
        <f>ROUND(C56/2,0)+Global_Params!$B$16</f>
        <v>20</v>
      </c>
      <c r="H56" s="3">
        <f>ROUND(D56/2,0)+Global_Params!$B$16</f>
        <v>11</v>
      </c>
      <c r="I56" s="14" t="s">
        <v>310</v>
      </c>
      <c r="J56" s="13">
        <f>ROUND(Global_Params!$B$17*(1+Global_Params!$B$18*(B56-1))*Maps!$H$11,0)</f>
        <v>246</v>
      </c>
      <c r="K56" s="3">
        <f t="shared" si="2"/>
        <v>200</v>
      </c>
      <c r="L56" s="3">
        <f>ROUND(J56*(Global_Params!$B$19+(Global_Params!$B$20-Global_Params!$B$19)*(B56-1)/(Global_Params!$B$7-1)),0)</f>
        <v>46</v>
      </c>
      <c r="M56" s="13">
        <f>ROUND(J56*IF(Maps!$G$11="Yes",Global_Params!$B$21,0),0)</f>
        <v>0</v>
      </c>
      <c r="N56" s="3">
        <f t="shared" si="3"/>
        <v>14</v>
      </c>
      <c r="O56" s="13">
        <f>MAX(1,MIN(Global_Params!$B$26,ROUND(F56/50,0)))</f>
        <v>3</v>
      </c>
      <c r="P56" s="3">
        <f t="shared" si="4"/>
        <v>8</v>
      </c>
      <c r="Q56" s="13">
        <f>ROUND(E56/100*Global_Params!$B$25,0)</f>
        <v>272</v>
      </c>
      <c r="R56" s="13" t="str">
        <f>Maps!$F$11</f>
        <v>Minerals</v>
      </c>
      <c r="S56" s="19">
        <f>Growth_Curve!$B$8</f>
        <v>0.66</v>
      </c>
      <c r="T56" s="13">
        <f>IF(B56&lt;Global_Params!$B$30,0,MAX(1,ROUND(E56/260,0)))</f>
        <v>0</v>
      </c>
      <c r="U56" s="3" t="str">
        <f>IF(T56=0,"-","L")</f>
        <v>-</v>
      </c>
      <c r="V56" s="13">
        <f>IF(T56=0,0,ROUND(C56/2*Global_Params!$B$31,0))</f>
        <v>0</v>
      </c>
      <c r="W56" s="13">
        <f>IF(T56=0,0,ROUND(D56/2*Global_Params!$B$31,0))</f>
        <v>0</v>
      </c>
      <c r="X56" s="13">
        <f>IF(T56=0,0,Global_Params!$B$32)</f>
        <v>0</v>
      </c>
      <c r="Y56" s="13">
        <f>T56*Global_Params!$B$33</f>
        <v>0</v>
      </c>
    </row>
    <row r="57" ht="15.75" customHeight="1">
      <c r="A57" s="3">
        <v>7.0</v>
      </c>
      <c r="B57" s="3">
        <v>5.0</v>
      </c>
      <c r="C57" s="13">
        <f>MIN(Maps!$C$11-2,MAX(C56+2,ROUND(Maps!$C$11*Growth_Curve!$B$9/2,0)*2))</f>
        <v>42</v>
      </c>
      <c r="D57" s="13">
        <f>MIN(Maps!$D$11,MAX(D56,ROUND(Maps!$D$11*Growth_Curve!$B$9/2,0)*2))</f>
        <v>22</v>
      </c>
      <c r="E57" s="3">
        <f t="shared" si="1"/>
        <v>924</v>
      </c>
      <c r="F57" s="3">
        <f t="shared" si="15"/>
        <v>276</v>
      </c>
      <c r="G57" s="3">
        <f>ROUND(C57/2,0)+Global_Params!$B$16</f>
        <v>23</v>
      </c>
      <c r="H57" s="3">
        <f>ROUND(D57/2,0)+Global_Params!$B$16</f>
        <v>13</v>
      </c>
      <c r="I57" s="14" t="s">
        <v>309</v>
      </c>
      <c r="J57" s="13">
        <f>ROUND(Global_Params!$B$17*(1+Global_Params!$B$18*(B57-1))*Maps!$H$11,0)</f>
        <v>275</v>
      </c>
      <c r="K57" s="3">
        <f t="shared" si="2"/>
        <v>216</v>
      </c>
      <c r="L57" s="3">
        <f>ROUND(J57*(Global_Params!$B$19+(Global_Params!$B$20-Global_Params!$B$19)*(B57-1)/(Global_Params!$B$7-1)),0)</f>
        <v>59</v>
      </c>
      <c r="M57" s="13">
        <f>ROUND(J57*IF(Maps!$G$11="Yes",Global_Params!$B$21,0),0)</f>
        <v>0</v>
      </c>
      <c r="N57" s="3">
        <f t="shared" si="3"/>
        <v>21</v>
      </c>
      <c r="O57" s="13">
        <f>MAX(1,MIN(Global_Params!$B$26,ROUND(F57/50,0)))</f>
        <v>3</v>
      </c>
      <c r="P57" s="3">
        <f t="shared" si="4"/>
        <v>13</v>
      </c>
      <c r="Q57" s="13">
        <f>ROUND(E57/100*Global_Params!$B$25,0)</f>
        <v>388</v>
      </c>
      <c r="R57" s="13" t="str">
        <f>Maps!$F$11</f>
        <v>Minerals</v>
      </c>
      <c r="S57" s="19">
        <f>Growth_Curve!$B$9</f>
        <v>0.79</v>
      </c>
      <c r="T57" s="13">
        <f>IF(B57&lt;Global_Params!$B$30,0,MAX(1,ROUND(E57/260,0)))</f>
        <v>4</v>
      </c>
      <c r="U57" s="3" t="str">
        <f>IF(T57=0,"-","R")</f>
        <v>R</v>
      </c>
      <c r="V57" s="13">
        <f>IF(T57=0,0,ROUND(C57/2*Global_Params!$B$31,0))</f>
        <v>17</v>
      </c>
      <c r="W57" s="13">
        <f>IF(T57=0,0,ROUND(D57/2*Global_Params!$B$31,0))</f>
        <v>9</v>
      </c>
      <c r="X57" s="13">
        <f>IF(T57=0,0,Global_Params!$B$32)</f>
        <v>4</v>
      </c>
      <c r="Y57" s="13">
        <f>T57*Global_Params!$B$33</f>
        <v>40</v>
      </c>
    </row>
    <row r="58" ht="15.75" customHeight="1">
      <c r="A58" s="3">
        <v>7.0</v>
      </c>
      <c r="B58" s="3">
        <v>6.0</v>
      </c>
      <c r="C58" s="13">
        <f>MIN(Maps!$C$11-2,MAX(C57+2,ROUND(Maps!$C$11*Growth_Curve!$B$10/2,0)*2))</f>
        <v>48</v>
      </c>
      <c r="D58" s="13">
        <f>MIN(Maps!$D$11,MAX(D57,ROUND(Maps!$D$11*Growth_Curve!$B$10/2,0)*2))</f>
        <v>24</v>
      </c>
      <c r="E58" s="3">
        <f t="shared" si="1"/>
        <v>1152</v>
      </c>
      <c r="F58" s="3">
        <f t="shared" si="15"/>
        <v>228</v>
      </c>
      <c r="G58" s="3">
        <f>ROUND(C58/2,0)+Global_Params!$B$16</f>
        <v>26</v>
      </c>
      <c r="H58" s="3">
        <f>ROUND(D58/2,0)+Global_Params!$B$16</f>
        <v>14</v>
      </c>
      <c r="I58" s="14" t="s">
        <v>310</v>
      </c>
      <c r="J58" s="13">
        <f>ROUND(Global_Params!$B$17*(1+Global_Params!$B$18*(B58-1))*Maps!$H$11,0)</f>
        <v>304</v>
      </c>
      <c r="K58" s="3">
        <f t="shared" si="2"/>
        <v>230</v>
      </c>
      <c r="L58" s="3">
        <f>ROUND(J58*(Global_Params!$B$19+(Global_Params!$B$20-Global_Params!$B$19)*(B58-1)/(Global_Params!$B$7-1)),0)</f>
        <v>74</v>
      </c>
      <c r="M58" s="13">
        <f>ROUND(J58*IF(Maps!$G$11="Yes",Global_Params!$B$21,0),0)</f>
        <v>0</v>
      </c>
      <c r="N58" s="3">
        <f t="shared" si="3"/>
        <v>26</v>
      </c>
      <c r="O58" s="13">
        <f>MAX(1,MIN(Global_Params!$B$26,ROUND(F58/50,0)))</f>
        <v>3</v>
      </c>
      <c r="P58" s="3">
        <f t="shared" si="4"/>
        <v>16</v>
      </c>
      <c r="Q58" s="13">
        <f>ROUND(E58/100*Global_Params!$B$25,0)</f>
        <v>484</v>
      </c>
      <c r="R58" s="13" t="str">
        <f>Maps!$F$11</f>
        <v>Minerals</v>
      </c>
      <c r="S58" s="19">
        <f>Growth_Curve!$B$10</f>
        <v>0.89</v>
      </c>
      <c r="T58" s="13">
        <f>IF(B58&lt;Global_Params!$B$30,0,MAX(1,ROUND(E58/260,0)))</f>
        <v>4</v>
      </c>
      <c r="U58" s="3" t="str">
        <f>IF(T58=0,"-","L")</f>
        <v>L</v>
      </c>
      <c r="V58" s="13">
        <f>IF(T58=0,0,ROUND(C58/2*Global_Params!$B$31,0))</f>
        <v>19</v>
      </c>
      <c r="W58" s="13">
        <f>IF(T58=0,0,ROUND(D58/2*Global_Params!$B$31,0))</f>
        <v>10</v>
      </c>
      <c r="X58" s="13">
        <f>IF(T58=0,0,Global_Params!$B$32)</f>
        <v>4</v>
      </c>
      <c r="Y58" s="13">
        <f>T58*Global_Params!$B$33</f>
        <v>40</v>
      </c>
    </row>
    <row r="59" ht="15.75" customHeight="1">
      <c r="A59" s="3">
        <v>7.0</v>
      </c>
      <c r="B59" s="3">
        <v>7.0</v>
      </c>
      <c r="C59" s="13">
        <f>MIN(Maps!$C$11-2,MAX(C58+2,ROUND(Maps!$C$11*Growth_Curve!$B$11/2,0)*2))</f>
        <v>52</v>
      </c>
      <c r="D59" s="13">
        <f>MIN(Maps!$D$11,MAX(D58,ROUND(Maps!$D$11*Growth_Curve!$B$11/2,0)*2))</f>
        <v>26</v>
      </c>
      <c r="E59" s="3">
        <f t="shared" si="1"/>
        <v>1352</v>
      </c>
      <c r="F59" s="3">
        <f t="shared" si="15"/>
        <v>200</v>
      </c>
      <c r="G59" s="3">
        <f>ROUND(C59/2,0)+Global_Params!$B$16</f>
        <v>28</v>
      </c>
      <c r="H59" s="3">
        <f>ROUND(D59/2,0)+Global_Params!$B$16</f>
        <v>15</v>
      </c>
      <c r="I59" s="14" t="s">
        <v>309</v>
      </c>
      <c r="J59" s="13">
        <f>ROUND(Global_Params!$B$17*(1+Global_Params!$B$18*(B59-1))*Maps!$H$11,0)</f>
        <v>333</v>
      </c>
      <c r="K59" s="3">
        <f t="shared" si="2"/>
        <v>243</v>
      </c>
      <c r="L59" s="3">
        <f>ROUND(J59*(Global_Params!$B$19+(Global_Params!$B$20-Global_Params!$B$19)*(B59-1)/(Global_Params!$B$7-1)),0)</f>
        <v>90</v>
      </c>
      <c r="M59" s="13">
        <f>ROUND(J59*IF(Maps!$G$11="Yes",Global_Params!$B$21,0),0)</f>
        <v>0</v>
      </c>
      <c r="N59" s="3">
        <f t="shared" si="3"/>
        <v>30</v>
      </c>
      <c r="O59" s="13">
        <f>MAX(1,MIN(Global_Params!$B$26,ROUND(F59/50,0)))</f>
        <v>3</v>
      </c>
      <c r="P59" s="3">
        <f t="shared" si="4"/>
        <v>18</v>
      </c>
      <c r="Q59" s="13">
        <f>ROUND(E59/100*Global_Params!$B$25,0)</f>
        <v>568</v>
      </c>
      <c r="R59" s="13" t="str">
        <f>Maps!$F$11</f>
        <v>Minerals</v>
      </c>
      <c r="S59" s="19">
        <f>Growth_Curve!$B$11</f>
        <v>0.96</v>
      </c>
      <c r="T59" s="13">
        <f>IF(B59&lt;Global_Params!$B$30,0,MAX(1,ROUND(E59/260,0)))</f>
        <v>5</v>
      </c>
      <c r="U59" s="3" t="str">
        <f>IF(T59=0,"-","R")</f>
        <v>R</v>
      </c>
      <c r="V59" s="13">
        <f>IF(T59=0,0,ROUND(C59/2*Global_Params!$B$31,0))</f>
        <v>21</v>
      </c>
      <c r="W59" s="13">
        <f>IF(T59=0,0,ROUND(D59/2*Global_Params!$B$31,0))</f>
        <v>10</v>
      </c>
      <c r="X59" s="13">
        <f>IF(T59=0,0,Global_Params!$B$32)</f>
        <v>4</v>
      </c>
      <c r="Y59" s="13">
        <f>T59*Global_Params!$B$33</f>
        <v>50</v>
      </c>
    </row>
    <row r="60" ht="15.75" customHeight="1">
      <c r="A60" s="3">
        <v>7.0</v>
      </c>
      <c r="B60" s="3">
        <v>8.0</v>
      </c>
      <c r="C60" s="13">
        <f>Maps!$C$11</f>
        <v>54</v>
      </c>
      <c r="D60" s="13">
        <f>Maps!$D$11</f>
        <v>28</v>
      </c>
      <c r="E60" s="3">
        <f t="shared" si="1"/>
        <v>1512</v>
      </c>
      <c r="F60" s="3">
        <f t="shared" si="15"/>
        <v>160</v>
      </c>
      <c r="G60" s="3">
        <f>ROUND(C60/2,0)+Global_Params!$B$16</f>
        <v>29</v>
      </c>
      <c r="H60" s="3">
        <f>ROUND(D60/2,0)+Global_Params!$B$16</f>
        <v>16</v>
      </c>
      <c r="I60" s="14" t="s">
        <v>310</v>
      </c>
      <c r="J60" s="13">
        <f>ROUND(Global_Params!$B$17*(1+Global_Params!$B$18*(B60-1))*Maps!$H$11,0)</f>
        <v>362</v>
      </c>
      <c r="K60" s="3">
        <f t="shared" si="2"/>
        <v>253</v>
      </c>
      <c r="L60" s="3">
        <f>ROUND(J60*(Global_Params!$B$19+(Global_Params!$B$20-Global_Params!$B$19)*(B60-1)/(Global_Params!$B$7-1)),0)</f>
        <v>109</v>
      </c>
      <c r="M60" s="13">
        <f>ROUND(J60*IF(Maps!$G$11="Yes",Global_Params!$B$21,0),0)</f>
        <v>0</v>
      </c>
      <c r="N60" s="3">
        <f t="shared" si="3"/>
        <v>34</v>
      </c>
      <c r="O60" s="13">
        <f>MAX(1,MIN(Global_Params!$B$26,ROUND(F60/50,0)))</f>
        <v>3</v>
      </c>
      <c r="P60" s="3">
        <f t="shared" si="4"/>
        <v>20</v>
      </c>
      <c r="Q60" s="13">
        <f>ROUND(E60/100*Global_Params!$B$25,0)</f>
        <v>635</v>
      </c>
      <c r="R60" s="13" t="str">
        <f>Maps!$F$11</f>
        <v>Minerals</v>
      </c>
      <c r="S60" s="19">
        <f>Growth_Curve!$B$12</f>
        <v>1</v>
      </c>
      <c r="T60" s="13">
        <f>IF(B60&lt;Global_Params!$B$30,0,MAX(1,ROUND(E60/260,0)))</f>
        <v>6</v>
      </c>
      <c r="U60" s="3" t="str">
        <f>IF(T60=0,"-","L")</f>
        <v>L</v>
      </c>
      <c r="V60" s="13">
        <f>IF(T60=0,0,ROUND(C60/2*Global_Params!$B$31,0))</f>
        <v>22</v>
      </c>
      <c r="W60" s="13">
        <f>IF(T60=0,0,ROUND(D60/2*Global_Params!$B$31,0))</f>
        <v>11</v>
      </c>
      <c r="X60" s="13">
        <f>IF(T60=0,0,Global_Params!$B$32)</f>
        <v>4</v>
      </c>
      <c r="Y60" s="13">
        <f>T60*Global_Params!$B$33</f>
        <v>60</v>
      </c>
    </row>
    <row r="61" ht="15.75" customHeight="1">
      <c r="A61" s="20">
        <v>8.0</v>
      </c>
      <c r="B61" s="20">
        <v>1.0</v>
      </c>
      <c r="C61" s="21">
        <f>MIN(Maps!$C$12-2,ROUND(Maps!$C$12*Growth_Curve!$B$5/2,0)*2)</f>
        <v>24</v>
      </c>
      <c r="D61" s="21">
        <f>MIN(Maps!$D$12,ROUND(Maps!$D$12*Growth_Curve!$B$5/2,0)*2)</f>
        <v>12</v>
      </c>
      <c r="E61" s="20">
        <f t="shared" si="1"/>
        <v>288</v>
      </c>
      <c r="F61" s="20">
        <f>E61</f>
        <v>288</v>
      </c>
      <c r="G61" s="20">
        <f>ROUND(C61/2,0)+Global_Params!$B$16</f>
        <v>14</v>
      </c>
      <c r="H61" s="20">
        <f>ROUND(D61/2,0)+Global_Params!$B$16</f>
        <v>8</v>
      </c>
      <c r="I61" s="22" t="s">
        <v>312</v>
      </c>
      <c r="J61" s="21">
        <f>ROUND(Global_Params!$B$17*(1+Global_Params!$B$18*(B61-1))*Maps!$H$12,0)</f>
        <v>170</v>
      </c>
      <c r="K61" s="20">
        <f t="shared" si="2"/>
        <v>127</v>
      </c>
      <c r="L61" s="20">
        <f>ROUND(J61*(Global_Params!$B$19+(Global_Params!$B$20-Global_Params!$B$19)*(B61-1)/(Global_Params!$B$7-1)),0)</f>
        <v>17</v>
      </c>
      <c r="M61" s="21">
        <f>ROUND(J61*IF(Maps!$G$12="Yes",Global_Params!$B$21,0),0)</f>
        <v>26</v>
      </c>
      <c r="N61" s="20">
        <f t="shared" si="3"/>
        <v>6</v>
      </c>
      <c r="O61" s="20">
        <f>1</f>
        <v>1</v>
      </c>
      <c r="P61" s="20">
        <f t="shared" si="4"/>
        <v>4</v>
      </c>
      <c r="Q61" s="21">
        <f>ROUND(E61/100*Global_Params!$B$25,0)</f>
        <v>121</v>
      </c>
      <c r="R61" s="21" t="str">
        <f>Maps!$F$12</f>
        <v>Crystals</v>
      </c>
      <c r="S61" s="23">
        <f>Growth_Curve!$B$5</f>
        <v>0.4</v>
      </c>
      <c r="T61" s="21">
        <f>IF(B61&lt;Global_Params!$B$30,0,MAX(1,ROUND(E61/260,0)))</f>
        <v>0</v>
      </c>
      <c r="U61" s="20" t="str">
        <f>IF(T61=0,"-","T")</f>
        <v>-</v>
      </c>
      <c r="V61" s="21">
        <f>IF(T61=0,0,ROUND(C61/2*Global_Params!$B$31,0))</f>
        <v>0</v>
      </c>
      <c r="W61" s="21">
        <f>IF(T61=0,0,ROUND(D61/2*Global_Params!$B$31,0))</f>
        <v>0</v>
      </c>
      <c r="X61" s="21">
        <f>IF(T61=0,0,Global_Params!$B$32)</f>
        <v>0</v>
      </c>
      <c r="Y61" s="21">
        <f>T61*Global_Params!$B$33</f>
        <v>0</v>
      </c>
    </row>
    <row r="62" ht="15.75" customHeight="1">
      <c r="A62" s="20">
        <v>8.0</v>
      </c>
      <c r="B62" s="20">
        <v>2.0</v>
      </c>
      <c r="C62" s="21">
        <f>MIN(Maps!$C$12-2,MAX(C61+2,ROUND(Maps!$C$12*Growth_Curve!$B$6/2,0)*2))</f>
        <v>28</v>
      </c>
      <c r="D62" s="21">
        <f>MIN(Maps!$D$12,MAX(D61,ROUND(Maps!$D$12*Growth_Curve!$B$6/2,0)*2))</f>
        <v>14</v>
      </c>
      <c r="E62" s="20">
        <f t="shared" si="1"/>
        <v>392</v>
      </c>
      <c r="F62" s="20">
        <f t="shared" ref="F62:F68" si="16">E62-E61</f>
        <v>104</v>
      </c>
      <c r="G62" s="20">
        <f>ROUND(C62/2,0)+Global_Params!$B$16</f>
        <v>16</v>
      </c>
      <c r="H62" s="20">
        <f>ROUND(D62/2,0)+Global_Params!$B$16</f>
        <v>9</v>
      </c>
      <c r="I62" s="22" t="s">
        <v>309</v>
      </c>
      <c r="J62" s="21">
        <f>ROUND(Global_Params!$B$17*(1+Global_Params!$B$18*(B62-1))*Maps!$H$12,0)</f>
        <v>201</v>
      </c>
      <c r="K62" s="20">
        <f t="shared" si="2"/>
        <v>145</v>
      </c>
      <c r="L62" s="20">
        <f>ROUND(J62*(Global_Params!$B$19+(Global_Params!$B$20-Global_Params!$B$19)*(B62-1)/(Global_Params!$B$7-1)),0)</f>
        <v>26</v>
      </c>
      <c r="M62" s="21">
        <f>ROUND(J62*IF(Maps!$G$12="Yes",Global_Params!$B$21,0),0)</f>
        <v>30</v>
      </c>
      <c r="N62" s="20">
        <f t="shared" si="3"/>
        <v>9</v>
      </c>
      <c r="O62" s="21">
        <f>MAX(1,MIN(Global_Params!$B$26,ROUND(F62/50,0)))</f>
        <v>2</v>
      </c>
      <c r="P62" s="20">
        <f t="shared" si="4"/>
        <v>5</v>
      </c>
      <c r="Q62" s="21">
        <f>ROUND(E62/100*Global_Params!$B$25,0)</f>
        <v>165</v>
      </c>
      <c r="R62" s="21" t="str">
        <f>Maps!$F$12</f>
        <v>Crystals</v>
      </c>
      <c r="S62" s="23">
        <f>Growth_Curve!$B$6</f>
        <v>0.46</v>
      </c>
      <c r="T62" s="21">
        <f>IF(B62&lt;Global_Params!$B$30,0,MAX(1,ROUND(E62/260,0)))</f>
        <v>0</v>
      </c>
      <c r="U62" s="20" t="str">
        <f>IF(T62=0,"-","R")</f>
        <v>-</v>
      </c>
      <c r="V62" s="21">
        <f>IF(T62=0,0,ROUND(C62/2*Global_Params!$B$31,0))</f>
        <v>0</v>
      </c>
      <c r="W62" s="21">
        <f>IF(T62=0,0,ROUND(D62/2*Global_Params!$B$31,0))</f>
        <v>0</v>
      </c>
      <c r="X62" s="21">
        <f>IF(T62=0,0,Global_Params!$B$32)</f>
        <v>0</v>
      </c>
      <c r="Y62" s="21">
        <f>T62*Global_Params!$B$33</f>
        <v>0</v>
      </c>
    </row>
    <row r="63" ht="15.75" customHeight="1">
      <c r="A63" s="20">
        <v>8.0</v>
      </c>
      <c r="B63" s="20">
        <v>3.0</v>
      </c>
      <c r="C63" s="21">
        <f>MIN(Maps!$C$12-2,MAX(C62+2,ROUND(Maps!$C$12*Growth_Curve!$B$7/2,0)*2))</f>
        <v>32</v>
      </c>
      <c r="D63" s="21">
        <f>MIN(Maps!$D$12,MAX(D62,ROUND(Maps!$D$12*Growth_Curve!$B$7/2,0)*2))</f>
        <v>16</v>
      </c>
      <c r="E63" s="20">
        <f t="shared" si="1"/>
        <v>512</v>
      </c>
      <c r="F63" s="20">
        <f t="shared" si="16"/>
        <v>120</v>
      </c>
      <c r="G63" s="20">
        <f>ROUND(C63/2,0)+Global_Params!$B$16</f>
        <v>18</v>
      </c>
      <c r="H63" s="20">
        <f>ROUND(D63/2,0)+Global_Params!$B$16</f>
        <v>10</v>
      </c>
      <c r="I63" s="22" t="s">
        <v>310</v>
      </c>
      <c r="J63" s="21">
        <f>ROUND(Global_Params!$B$17*(1+Global_Params!$B$18*(B63-1))*Maps!$H$12,0)</f>
        <v>231</v>
      </c>
      <c r="K63" s="20">
        <f t="shared" si="2"/>
        <v>160</v>
      </c>
      <c r="L63" s="20">
        <f>ROUND(J63*(Global_Params!$B$19+(Global_Params!$B$20-Global_Params!$B$19)*(B63-1)/(Global_Params!$B$7-1)),0)</f>
        <v>36</v>
      </c>
      <c r="M63" s="21">
        <f>ROUND(J63*IF(Maps!$G$12="Yes",Global_Params!$B$21,0),0)</f>
        <v>35</v>
      </c>
      <c r="N63" s="20">
        <f t="shared" si="3"/>
        <v>11</v>
      </c>
      <c r="O63" s="21">
        <f>MAX(1,MIN(Global_Params!$B$26,ROUND(F63/50,0)))</f>
        <v>2</v>
      </c>
      <c r="P63" s="20">
        <f t="shared" si="4"/>
        <v>7</v>
      </c>
      <c r="Q63" s="21">
        <f>ROUND(E63/100*Global_Params!$B$25,0)</f>
        <v>215</v>
      </c>
      <c r="R63" s="21" t="str">
        <f>Maps!$F$12</f>
        <v>Crystals</v>
      </c>
      <c r="S63" s="23">
        <f>Growth_Curve!$B$7</f>
        <v>0.54</v>
      </c>
      <c r="T63" s="21">
        <f>IF(B63&lt;Global_Params!$B$30,0,MAX(1,ROUND(E63/260,0)))</f>
        <v>0</v>
      </c>
      <c r="U63" s="20" t="str">
        <f>IF(T63=0,"-","L")</f>
        <v>-</v>
      </c>
      <c r="V63" s="21">
        <f>IF(T63=0,0,ROUND(C63/2*Global_Params!$B$31,0))</f>
        <v>0</v>
      </c>
      <c r="W63" s="21">
        <f>IF(T63=0,0,ROUND(D63/2*Global_Params!$B$31,0))</f>
        <v>0</v>
      </c>
      <c r="X63" s="21">
        <f>IF(T63=0,0,Global_Params!$B$32)</f>
        <v>0</v>
      </c>
      <c r="Y63" s="21">
        <f>T63*Global_Params!$B$33</f>
        <v>0</v>
      </c>
    </row>
    <row r="64" ht="15.75" customHeight="1">
      <c r="A64" s="20">
        <v>8.0</v>
      </c>
      <c r="B64" s="20">
        <v>4.0</v>
      </c>
      <c r="C64" s="21">
        <f>MIN(Maps!$C$12-2,MAX(C63+2,ROUND(Maps!$C$12*Growth_Curve!$B$8/2,0)*2))</f>
        <v>40</v>
      </c>
      <c r="D64" s="21">
        <f>MIN(Maps!$D$12,MAX(D63,ROUND(Maps!$D$12*Growth_Curve!$B$8/2,0)*2))</f>
        <v>20</v>
      </c>
      <c r="E64" s="20">
        <f t="shared" si="1"/>
        <v>800</v>
      </c>
      <c r="F64" s="20">
        <f t="shared" si="16"/>
        <v>288</v>
      </c>
      <c r="G64" s="20">
        <f>ROUND(C64/2,0)+Global_Params!$B$16</f>
        <v>22</v>
      </c>
      <c r="H64" s="20">
        <f>ROUND(D64/2,0)+Global_Params!$B$16</f>
        <v>12</v>
      </c>
      <c r="I64" s="22" t="s">
        <v>309</v>
      </c>
      <c r="J64" s="21">
        <f>ROUND(Global_Params!$B$17*(1+Global_Params!$B$18*(B64-1))*Maps!$H$12,0)</f>
        <v>262</v>
      </c>
      <c r="K64" s="20">
        <f t="shared" si="2"/>
        <v>174</v>
      </c>
      <c r="L64" s="20">
        <f>ROUND(J64*(Global_Params!$B$19+(Global_Params!$B$20-Global_Params!$B$19)*(B64-1)/(Global_Params!$B$7-1)),0)</f>
        <v>49</v>
      </c>
      <c r="M64" s="21">
        <f>ROUND(J64*IF(Maps!$G$12="Yes",Global_Params!$B$21,0),0)</f>
        <v>39</v>
      </c>
      <c r="N64" s="20">
        <f t="shared" si="3"/>
        <v>18</v>
      </c>
      <c r="O64" s="21">
        <f>MAX(1,MIN(Global_Params!$B$26,ROUND(F64/50,0)))</f>
        <v>3</v>
      </c>
      <c r="P64" s="20">
        <f t="shared" si="4"/>
        <v>11</v>
      </c>
      <c r="Q64" s="21">
        <f>ROUND(E64/100*Global_Params!$B$25,0)</f>
        <v>336</v>
      </c>
      <c r="R64" s="21" t="str">
        <f>Maps!$F$12</f>
        <v>Crystals</v>
      </c>
      <c r="S64" s="23">
        <f>Growth_Curve!$B$8</f>
        <v>0.66</v>
      </c>
      <c r="T64" s="21">
        <f>IF(B64&lt;Global_Params!$B$30,0,MAX(1,ROUND(E64/260,0)))</f>
        <v>0</v>
      </c>
      <c r="U64" s="20" t="str">
        <f>IF(T64=0,"-","R")</f>
        <v>-</v>
      </c>
      <c r="V64" s="21">
        <f>IF(T64=0,0,ROUND(C64/2*Global_Params!$B$31,0))</f>
        <v>0</v>
      </c>
      <c r="W64" s="21">
        <f>IF(T64=0,0,ROUND(D64/2*Global_Params!$B$31,0))</f>
        <v>0</v>
      </c>
      <c r="X64" s="21">
        <f>IF(T64=0,0,Global_Params!$B$32)</f>
        <v>0</v>
      </c>
      <c r="Y64" s="21">
        <f>T64*Global_Params!$B$33</f>
        <v>0</v>
      </c>
    </row>
    <row r="65" ht="15.75" customHeight="1">
      <c r="A65" s="20">
        <v>8.0</v>
      </c>
      <c r="B65" s="20">
        <v>5.0</v>
      </c>
      <c r="C65" s="21">
        <f>MIN(Maps!$C$12-2,MAX(C64+2,ROUND(Maps!$C$12*Growth_Curve!$B$9/2,0)*2))</f>
        <v>48</v>
      </c>
      <c r="D65" s="21">
        <f>MIN(Maps!$D$12,MAX(D64,ROUND(Maps!$D$12*Growth_Curve!$B$9/2,0)*2))</f>
        <v>24</v>
      </c>
      <c r="E65" s="20">
        <f t="shared" si="1"/>
        <v>1152</v>
      </c>
      <c r="F65" s="20">
        <f t="shared" si="16"/>
        <v>352</v>
      </c>
      <c r="G65" s="20">
        <f>ROUND(C65/2,0)+Global_Params!$B$16</f>
        <v>26</v>
      </c>
      <c r="H65" s="20">
        <f>ROUND(D65/2,0)+Global_Params!$B$16</f>
        <v>14</v>
      </c>
      <c r="I65" s="22" t="s">
        <v>310</v>
      </c>
      <c r="J65" s="21">
        <f>ROUND(Global_Params!$B$17*(1+Global_Params!$B$18*(B65-1))*Maps!$H$12,0)</f>
        <v>292</v>
      </c>
      <c r="K65" s="20">
        <f t="shared" si="2"/>
        <v>185</v>
      </c>
      <c r="L65" s="20">
        <f>ROUND(J65*(Global_Params!$B$19+(Global_Params!$B$20-Global_Params!$B$19)*(B65-1)/(Global_Params!$B$7-1)),0)</f>
        <v>63</v>
      </c>
      <c r="M65" s="21">
        <f>ROUND(J65*IF(Maps!$G$12="Yes",Global_Params!$B$21,0),0)</f>
        <v>44</v>
      </c>
      <c r="N65" s="20">
        <f t="shared" si="3"/>
        <v>26</v>
      </c>
      <c r="O65" s="21">
        <f>MAX(1,MIN(Global_Params!$B$26,ROUND(F65/50,0)))</f>
        <v>3</v>
      </c>
      <c r="P65" s="20">
        <f t="shared" si="4"/>
        <v>16</v>
      </c>
      <c r="Q65" s="21">
        <f>ROUND(E65/100*Global_Params!$B$25,0)</f>
        <v>484</v>
      </c>
      <c r="R65" s="21" t="str">
        <f>Maps!$F$12</f>
        <v>Crystals</v>
      </c>
      <c r="S65" s="23">
        <f>Growth_Curve!$B$9</f>
        <v>0.79</v>
      </c>
      <c r="T65" s="21">
        <f>IF(B65&lt;Global_Params!$B$30,0,MAX(1,ROUND(E65/260,0)))</f>
        <v>4</v>
      </c>
      <c r="U65" s="20" t="str">
        <f>IF(T65=0,"-","L")</f>
        <v>L</v>
      </c>
      <c r="V65" s="21">
        <f>IF(T65=0,0,ROUND(C65/2*Global_Params!$B$31,0))</f>
        <v>19</v>
      </c>
      <c r="W65" s="21">
        <f>IF(T65=0,0,ROUND(D65/2*Global_Params!$B$31,0))</f>
        <v>10</v>
      </c>
      <c r="X65" s="21">
        <f>IF(T65=0,0,Global_Params!$B$32)</f>
        <v>4</v>
      </c>
      <c r="Y65" s="21">
        <f>T65*Global_Params!$B$33</f>
        <v>40</v>
      </c>
    </row>
    <row r="66" ht="15.75" customHeight="1">
      <c r="A66" s="20">
        <v>8.0</v>
      </c>
      <c r="B66" s="20">
        <v>6.0</v>
      </c>
      <c r="C66" s="21">
        <f>MIN(Maps!$C$12-2,MAX(C65+2,ROUND(Maps!$C$12*Growth_Curve!$B$10/2,0)*2))</f>
        <v>54</v>
      </c>
      <c r="D66" s="21">
        <f>MIN(Maps!$D$12,MAX(D65,ROUND(Maps!$D$12*Growth_Curve!$B$10/2,0)*2))</f>
        <v>26</v>
      </c>
      <c r="E66" s="20">
        <f t="shared" si="1"/>
        <v>1404</v>
      </c>
      <c r="F66" s="20">
        <f t="shared" si="16"/>
        <v>252</v>
      </c>
      <c r="G66" s="20">
        <f>ROUND(C66/2,0)+Global_Params!$B$16</f>
        <v>29</v>
      </c>
      <c r="H66" s="20">
        <f>ROUND(D66/2,0)+Global_Params!$B$16</f>
        <v>15</v>
      </c>
      <c r="I66" s="22" t="s">
        <v>309</v>
      </c>
      <c r="J66" s="21">
        <f>ROUND(Global_Params!$B$17*(1+Global_Params!$B$18*(B66-1))*Maps!$H$12,0)</f>
        <v>323</v>
      </c>
      <c r="K66" s="20">
        <f t="shared" si="2"/>
        <v>197</v>
      </c>
      <c r="L66" s="20">
        <f>ROUND(J66*(Global_Params!$B$19+(Global_Params!$B$20-Global_Params!$B$19)*(B66-1)/(Global_Params!$B$7-1)),0)</f>
        <v>78</v>
      </c>
      <c r="M66" s="21">
        <f>ROUND(J66*IF(Maps!$G$12="Yes",Global_Params!$B$21,0),0)</f>
        <v>48</v>
      </c>
      <c r="N66" s="20">
        <f t="shared" si="3"/>
        <v>31</v>
      </c>
      <c r="O66" s="21">
        <f>MAX(1,MIN(Global_Params!$B$26,ROUND(F66/50,0)))</f>
        <v>3</v>
      </c>
      <c r="P66" s="20">
        <f t="shared" si="4"/>
        <v>19</v>
      </c>
      <c r="Q66" s="21">
        <f>ROUND(E66/100*Global_Params!$B$25,0)</f>
        <v>590</v>
      </c>
      <c r="R66" s="21" t="str">
        <f>Maps!$F$12</f>
        <v>Crystals</v>
      </c>
      <c r="S66" s="23">
        <f>Growth_Curve!$B$10</f>
        <v>0.89</v>
      </c>
      <c r="T66" s="21">
        <f>IF(B66&lt;Global_Params!$B$30,0,MAX(1,ROUND(E66/260,0)))</f>
        <v>5</v>
      </c>
      <c r="U66" s="20" t="str">
        <f>IF(T66=0,"-","R")</f>
        <v>R</v>
      </c>
      <c r="V66" s="21">
        <f>IF(T66=0,0,ROUND(C66/2*Global_Params!$B$31,0))</f>
        <v>22</v>
      </c>
      <c r="W66" s="21">
        <f>IF(T66=0,0,ROUND(D66/2*Global_Params!$B$31,0))</f>
        <v>10</v>
      </c>
      <c r="X66" s="21">
        <f>IF(T66=0,0,Global_Params!$B$32)</f>
        <v>4</v>
      </c>
      <c r="Y66" s="21">
        <f>T66*Global_Params!$B$33</f>
        <v>50</v>
      </c>
    </row>
    <row r="67" ht="15.75" customHeight="1">
      <c r="A67" s="20">
        <v>8.0</v>
      </c>
      <c r="B67" s="20">
        <v>7.0</v>
      </c>
      <c r="C67" s="21">
        <f>MIN(Maps!$C$12-2,MAX(C66+2,ROUND(Maps!$C$12*Growth_Curve!$B$11/2,0)*2))</f>
        <v>58</v>
      </c>
      <c r="D67" s="21">
        <f>MIN(Maps!$D$12,MAX(D66,ROUND(Maps!$D$12*Growth_Curve!$B$11/2,0)*2))</f>
        <v>28</v>
      </c>
      <c r="E67" s="20">
        <f t="shared" si="1"/>
        <v>1624</v>
      </c>
      <c r="F67" s="20">
        <f t="shared" si="16"/>
        <v>220</v>
      </c>
      <c r="G67" s="20">
        <f>ROUND(C67/2,0)+Global_Params!$B$16</f>
        <v>31</v>
      </c>
      <c r="H67" s="20">
        <f>ROUND(D67/2,0)+Global_Params!$B$16</f>
        <v>16</v>
      </c>
      <c r="I67" s="22" t="s">
        <v>310</v>
      </c>
      <c r="J67" s="21">
        <f>ROUND(Global_Params!$B$17*(1+Global_Params!$B$18*(B67-1))*Maps!$H$12,0)</f>
        <v>354</v>
      </c>
      <c r="K67" s="20">
        <f t="shared" si="2"/>
        <v>205</v>
      </c>
      <c r="L67" s="20">
        <f>ROUND(J67*(Global_Params!$B$19+(Global_Params!$B$20-Global_Params!$B$19)*(B67-1)/(Global_Params!$B$7-1)),0)</f>
        <v>96</v>
      </c>
      <c r="M67" s="21">
        <f>ROUND(J67*IF(Maps!$G$12="Yes",Global_Params!$B$21,0),0)</f>
        <v>53</v>
      </c>
      <c r="N67" s="20">
        <f t="shared" si="3"/>
        <v>36</v>
      </c>
      <c r="O67" s="21">
        <f>MAX(1,MIN(Global_Params!$B$26,ROUND(F67/50,0)))</f>
        <v>3</v>
      </c>
      <c r="P67" s="20">
        <f t="shared" si="4"/>
        <v>22</v>
      </c>
      <c r="Q67" s="21">
        <f>ROUND(E67/100*Global_Params!$B$25,0)</f>
        <v>682</v>
      </c>
      <c r="R67" s="21" t="str">
        <f>Maps!$F$12</f>
        <v>Crystals</v>
      </c>
      <c r="S67" s="23">
        <f>Growth_Curve!$B$11</f>
        <v>0.96</v>
      </c>
      <c r="T67" s="21">
        <f>IF(B67&lt;Global_Params!$B$30,0,MAX(1,ROUND(E67/260,0)))</f>
        <v>6</v>
      </c>
      <c r="U67" s="20" t="str">
        <f>IF(T67=0,"-","L")</f>
        <v>L</v>
      </c>
      <c r="V67" s="21">
        <f>IF(T67=0,0,ROUND(C67/2*Global_Params!$B$31,0))</f>
        <v>23</v>
      </c>
      <c r="W67" s="21">
        <f>IF(T67=0,0,ROUND(D67/2*Global_Params!$B$31,0))</f>
        <v>11</v>
      </c>
      <c r="X67" s="21">
        <f>IF(T67=0,0,Global_Params!$B$32)</f>
        <v>4</v>
      </c>
      <c r="Y67" s="21">
        <f>T67*Global_Params!$B$33</f>
        <v>60</v>
      </c>
    </row>
    <row r="68" ht="15.75" customHeight="1">
      <c r="A68" s="20">
        <v>8.0</v>
      </c>
      <c r="B68" s="20">
        <v>8.0</v>
      </c>
      <c r="C68" s="21">
        <f>Maps!$C$12</f>
        <v>60</v>
      </c>
      <c r="D68" s="21">
        <f>Maps!$D$12</f>
        <v>30</v>
      </c>
      <c r="E68" s="20">
        <f t="shared" si="1"/>
        <v>1800</v>
      </c>
      <c r="F68" s="20">
        <f t="shared" si="16"/>
        <v>176</v>
      </c>
      <c r="G68" s="20">
        <f>ROUND(C68/2,0)+Global_Params!$B$16</f>
        <v>32</v>
      </c>
      <c r="H68" s="20">
        <f>ROUND(D68/2,0)+Global_Params!$B$16</f>
        <v>17</v>
      </c>
      <c r="I68" s="22" t="s">
        <v>311</v>
      </c>
      <c r="J68" s="21">
        <f>ROUND(Global_Params!$B$17*(1+Global_Params!$B$18*(B68-1))*Maps!$H$12,0)</f>
        <v>384</v>
      </c>
      <c r="K68" s="20">
        <f t="shared" si="2"/>
        <v>211</v>
      </c>
      <c r="L68" s="20">
        <f>ROUND(J68*(Global_Params!$B$19+(Global_Params!$B$20-Global_Params!$B$19)*(B68-1)/(Global_Params!$B$7-1)),0)</f>
        <v>115</v>
      </c>
      <c r="M68" s="21">
        <f>ROUND(J68*IF(Maps!$G$12="Yes",Global_Params!$B$21,0),0)</f>
        <v>58</v>
      </c>
      <c r="N68" s="20">
        <f t="shared" si="3"/>
        <v>40</v>
      </c>
      <c r="O68" s="21">
        <f>MAX(1,MIN(Global_Params!$B$26,ROUND(F68/50,0)))</f>
        <v>3</v>
      </c>
      <c r="P68" s="20">
        <f t="shared" si="4"/>
        <v>24</v>
      </c>
      <c r="Q68" s="21">
        <f>ROUND(E68/100*Global_Params!$B$25,0)</f>
        <v>756</v>
      </c>
      <c r="R68" s="21" t="str">
        <f>Maps!$F$12</f>
        <v>Crystals</v>
      </c>
      <c r="S68" s="23">
        <f>Growth_Curve!$B$12</f>
        <v>1</v>
      </c>
      <c r="T68" s="21">
        <f>IF(B68&lt;Global_Params!$B$30,0,MAX(1,ROUND(E68/260,0)))</f>
        <v>7</v>
      </c>
      <c r="U68" s="20" t="str">
        <f>IF(T68=0,"-","B")</f>
        <v>B</v>
      </c>
      <c r="V68" s="21">
        <f>IF(T68=0,0,ROUND(C68/2*Global_Params!$B$31,0))</f>
        <v>24</v>
      </c>
      <c r="W68" s="21">
        <f>IF(T68=0,0,ROUND(D68/2*Global_Params!$B$31,0))</f>
        <v>12</v>
      </c>
      <c r="X68" s="21">
        <f>IF(T68=0,0,Global_Params!$B$32)</f>
        <v>4</v>
      </c>
      <c r="Y68" s="21">
        <f>T68*Global_Params!$B$33</f>
        <v>70</v>
      </c>
    </row>
    <row r="69" ht="15.75" customHeight="1">
      <c r="A69" s="3">
        <v>9.0</v>
      </c>
      <c r="B69" s="3">
        <v>1.0</v>
      </c>
      <c r="C69" s="13">
        <f>MIN(Maps!$C$13-2,ROUND(Maps!$C$13*Growth_Curve!$B$5/2,0)*2)</f>
        <v>26</v>
      </c>
      <c r="D69" s="13">
        <f>MIN(Maps!$D$13,ROUND(Maps!$D$13*Growth_Curve!$B$5/2,0)*2)</f>
        <v>12</v>
      </c>
      <c r="E69" s="3">
        <f t="shared" si="1"/>
        <v>312</v>
      </c>
      <c r="F69" s="3">
        <f>E69</f>
        <v>312</v>
      </c>
      <c r="G69" s="3">
        <f>ROUND(C69/2,0)+Global_Params!$B$16</f>
        <v>15</v>
      </c>
      <c r="H69" s="3">
        <f>ROUND(D69/2,0)+Global_Params!$B$16</f>
        <v>8</v>
      </c>
      <c r="I69" s="14" t="s">
        <v>309</v>
      </c>
      <c r="J69" s="13">
        <f>ROUND(Global_Params!$B$17*(1+Global_Params!$B$18*(B69-1))*Maps!$H$13,0)</f>
        <v>180</v>
      </c>
      <c r="K69" s="3">
        <f t="shared" si="2"/>
        <v>135</v>
      </c>
      <c r="L69" s="3">
        <f>ROUND(J69*(Global_Params!$B$19+(Global_Params!$B$20-Global_Params!$B$19)*(B69-1)/(Global_Params!$B$7-1)),0)</f>
        <v>18</v>
      </c>
      <c r="M69" s="13">
        <f>ROUND(J69*IF(Maps!$G$13="Yes",Global_Params!$B$21,0),0)</f>
        <v>27</v>
      </c>
      <c r="N69" s="3">
        <f t="shared" si="3"/>
        <v>7</v>
      </c>
      <c r="O69" s="3">
        <f>1</f>
        <v>1</v>
      </c>
      <c r="P69" s="3">
        <f t="shared" si="4"/>
        <v>4</v>
      </c>
      <c r="Q69" s="13">
        <f>ROUND(E69/100*Global_Params!$B$25,0)</f>
        <v>131</v>
      </c>
      <c r="R69" s="13" t="str">
        <f>Maps!$F$13</f>
        <v>Crystals</v>
      </c>
      <c r="S69" s="19">
        <f>Growth_Curve!$B$5</f>
        <v>0.4</v>
      </c>
      <c r="T69" s="13">
        <f>IF(B69&lt;Global_Params!$B$30,0,MAX(1,ROUND(E69/260,0)))</f>
        <v>0</v>
      </c>
      <c r="U69" s="3" t="str">
        <f>IF(T69=0,"-","R")</f>
        <v>-</v>
      </c>
      <c r="V69" s="13">
        <f>IF(T69=0,0,ROUND(C69/2*Global_Params!$B$31,0))</f>
        <v>0</v>
      </c>
      <c r="W69" s="13">
        <f>IF(T69=0,0,ROUND(D69/2*Global_Params!$B$31,0))</f>
        <v>0</v>
      </c>
      <c r="X69" s="13">
        <f>IF(T69=0,0,Global_Params!$B$32)</f>
        <v>0</v>
      </c>
      <c r="Y69" s="13">
        <f>T69*Global_Params!$B$33</f>
        <v>0</v>
      </c>
    </row>
    <row r="70" ht="15.75" customHeight="1">
      <c r="A70" s="3">
        <v>9.0</v>
      </c>
      <c r="B70" s="3">
        <v>2.0</v>
      </c>
      <c r="C70" s="13">
        <f>MIN(Maps!$C$13-2,MAX(C69+2,ROUND(Maps!$C$13*Growth_Curve!$B$6/2,0)*2))</f>
        <v>30</v>
      </c>
      <c r="D70" s="13">
        <f>MIN(Maps!$D$13,MAX(D69,ROUND(Maps!$D$13*Growth_Curve!$B$6/2,0)*2))</f>
        <v>14</v>
      </c>
      <c r="E70" s="3">
        <f t="shared" si="1"/>
        <v>420</v>
      </c>
      <c r="F70" s="3">
        <f t="shared" ref="F70:F76" si="17">E70-E69</f>
        <v>108</v>
      </c>
      <c r="G70" s="3">
        <f>ROUND(C70/2,0)+Global_Params!$B$16</f>
        <v>17</v>
      </c>
      <c r="H70" s="3">
        <f>ROUND(D70/2,0)+Global_Params!$B$16</f>
        <v>9</v>
      </c>
      <c r="I70" s="14" t="s">
        <v>310</v>
      </c>
      <c r="J70" s="13">
        <f>ROUND(Global_Params!$B$17*(1+Global_Params!$B$18*(B70-1))*Maps!$H$13,0)</f>
        <v>212</v>
      </c>
      <c r="K70" s="3">
        <f t="shared" si="2"/>
        <v>153</v>
      </c>
      <c r="L70" s="3">
        <f>ROUND(J70*(Global_Params!$B$19+(Global_Params!$B$20-Global_Params!$B$19)*(B70-1)/(Global_Params!$B$7-1)),0)</f>
        <v>27</v>
      </c>
      <c r="M70" s="13">
        <f>ROUND(J70*IF(Maps!$G$13="Yes",Global_Params!$B$21,0),0)</f>
        <v>32</v>
      </c>
      <c r="N70" s="3">
        <f t="shared" si="3"/>
        <v>9</v>
      </c>
      <c r="O70" s="13">
        <f>MAX(1,MIN(Global_Params!$B$26,ROUND(F70/50,0)))</f>
        <v>2</v>
      </c>
      <c r="P70" s="3">
        <f t="shared" si="4"/>
        <v>5</v>
      </c>
      <c r="Q70" s="13">
        <f>ROUND(E70/100*Global_Params!$B$25,0)</f>
        <v>176</v>
      </c>
      <c r="R70" s="13" t="str">
        <f>Maps!$F$13</f>
        <v>Crystals</v>
      </c>
      <c r="S70" s="19">
        <f>Growth_Curve!$B$6</f>
        <v>0.46</v>
      </c>
      <c r="T70" s="13">
        <f>IF(B70&lt;Global_Params!$B$30,0,MAX(1,ROUND(E70/260,0)))</f>
        <v>0</v>
      </c>
      <c r="U70" s="3" t="str">
        <f>IF(T70=0,"-","L")</f>
        <v>-</v>
      </c>
      <c r="V70" s="13">
        <f>IF(T70=0,0,ROUND(C70/2*Global_Params!$B$31,0))</f>
        <v>0</v>
      </c>
      <c r="W70" s="13">
        <f>IF(T70=0,0,ROUND(D70/2*Global_Params!$B$31,0))</f>
        <v>0</v>
      </c>
      <c r="X70" s="13">
        <f>IF(T70=0,0,Global_Params!$B$32)</f>
        <v>0</v>
      </c>
      <c r="Y70" s="13">
        <f>T70*Global_Params!$B$33</f>
        <v>0</v>
      </c>
    </row>
    <row r="71" ht="15.75" customHeight="1">
      <c r="A71" s="3">
        <v>9.0</v>
      </c>
      <c r="B71" s="3">
        <v>3.0</v>
      </c>
      <c r="C71" s="13">
        <f>MIN(Maps!$C$13-2,MAX(C70+2,ROUND(Maps!$C$13*Growth_Curve!$B$7/2,0)*2))</f>
        <v>34</v>
      </c>
      <c r="D71" s="13">
        <f>MIN(Maps!$D$13,MAX(D70,ROUND(Maps!$D$13*Growth_Curve!$B$7/2,0)*2))</f>
        <v>18</v>
      </c>
      <c r="E71" s="3">
        <f t="shared" si="1"/>
        <v>612</v>
      </c>
      <c r="F71" s="3">
        <f t="shared" si="17"/>
        <v>192</v>
      </c>
      <c r="G71" s="3">
        <f>ROUND(C71/2,0)+Global_Params!$B$16</f>
        <v>19</v>
      </c>
      <c r="H71" s="3">
        <f>ROUND(D71/2,0)+Global_Params!$B$16</f>
        <v>11</v>
      </c>
      <c r="I71" s="14" t="s">
        <v>309</v>
      </c>
      <c r="J71" s="13">
        <f>ROUND(Global_Params!$B$17*(1+Global_Params!$B$18*(B71-1))*Maps!$H$13,0)</f>
        <v>245</v>
      </c>
      <c r="K71" s="3">
        <f t="shared" si="2"/>
        <v>169</v>
      </c>
      <c r="L71" s="3">
        <f>ROUND(J71*(Global_Params!$B$19+(Global_Params!$B$20-Global_Params!$B$19)*(B71-1)/(Global_Params!$B$7-1)),0)</f>
        <v>39</v>
      </c>
      <c r="M71" s="13">
        <f>ROUND(J71*IF(Maps!$G$13="Yes",Global_Params!$B$21,0),0)</f>
        <v>37</v>
      </c>
      <c r="N71" s="3">
        <f t="shared" si="3"/>
        <v>14</v>
      </c>
      <c r="O71" s="13">
        <f>MAX(1,MIN(Global_Params!$B$26,ROUND(F71/50,0)))</f>
        <v>3</v>
      </c>
      <c r="P71" s="3">
        <f t="shared" si="4"/>
        <v>8</v>
      </c>
      <c r="Q71" s="13">
        <f>ROUND(E71/100*Global_Params!$B$25,0)</f>
        <v>257</v>
      </c>
      <c r="R71" s="13" t="str">
        <f>Maps!$F$13</f>
        <v>Crystals</v>
      </c>
      <c r="S71" s="19">
        <f>Growth_Curve!$B$7</f>
        <v>0.54</v>
      </c>
      <c r="T71" s="13">
        <f>IF(B71&lt;Global_Params!$B$30,0,MAX(1,ROUND(E71/260,0)))</f>
        <v>0</v>
      </c>
      <c r="U71" s="3" t="str">
        <f>IF(T71=0,"-","R")</f>
        <v>-</v>
      </c>
      <c r="V71" s="13">
        <f>IF(T71=0,0,ROUND(C71/2*Global_Params!$B$31,0))</f>
        <v>0</v>
      </c>
      <c r="W71" s="13">
        <f>IF(T71=0,0,ROUND(D71/2*Global_Params!$B$31,0))</f>
        <v>0</v>
      </c>
      <c r="X71" s="13">
        <f>IF(T71=0,0,Global_Params!$B$32)</f>
        <v>0</v>
      </c>
      <c r="Y71" s="13">
        <f>T71*Global_Params!$B$33</f>
        <v>0</v>
      </c>
    </row>
    <row r="72" ht="15.75" customHeight="1">
      <c r="A72" s="3">
        <v>9.0</v>
      </c>
      <c r="B72" s="3">
        <v>4.0</v>
      </c>
      <c r="C72" s="13">
        <f>MIN(Maps!$C$13-2,MAX(C71+2,ROUND(Maps!$C$13*Growth_Curve!$B$8/2,0)*2))</f>
        <v>42</v>
      </c>
      <c r="D72" s="13">
        <f>MIN(Maps!$D$13,MAX(D71,ROUND(Maps!$D$13*Growth_Curve!$B$8/2,0)*2))</f>
        <v>22</v>
      </c>
      <c r="E72" s="3">
        <f t="shared" si="1"/>
        <v>924</v>
      </c>
      <c r="F72" s="3">
        <f t="shared" si="17"/>
        <v>312</v>
      </c>
      <c r="G72" s="3">
        <f>ROUND(C72/2,0)+Global_Params!$B$16</f>
        <v>23</v>
      </c>
      <c r="H72" s="3">
        <f>ROUND(D72/2,0)+Global_Params!$B$16</f>
        <v>13</v>
      </c>
      <c r="I72" s="14" t="s">
        <v>310</v>
      </c>
      <c r="J72" s="13">
        <f>ROUND(Global_Params!$B$17*(1+Global_Params!$B$18*(B72-1))*Maps!$H$13,0)</f>
        <v>277</v>
      </c>
      <c r="K72" s="3">
        <f t="shared" si="2"/>
        <v>184</v>
      </c>
      <c r="L72" s="3">
        <f>ROUND(J72*(Global_Params!$B$19+(Global_Params!$B$20-Global_Params!$B$19)*(B72-1)/(Global_Params!$B$7-1)),0)</f>
        <v>51</v>
      </c>
      <c r="M72" s="13">
        <f>ROUND(J72*IF(Maps!$G$13="Yes",Global_Params!$B$21,0),0)</f>
        <v>42</v>
      </c>
      <c r="N72" s="3">
        <f t="shared" si="3"/>
        <v>21</v>
      </c>
      <c r="O72" s="13">
        <f>MAX(1,MIN(Global_Params!$B$26,ROUND(F72/50,0)))</f>
        <v>3</v>
      </c>
      <c r="P72" s="3">
        <f t="shared" si="4"/>
        <v>13</v>
      </c>
      <c r="Q72" s="13">
        <f>ROUND(E72/100*Global_Params!$B$25,0)</f>
        <v>388</v>
      </c>
      <c r="R72" s="13" t="str">
        <f>Maps!$F$13</f>
        <v>Crystals</v>
      </c>
      <c r="S72" s="19">
        <f>Growth_Curve!$B$8</f>
        <v>0.66</v>
      </c>
      <c r="T72" s="13">
        <f>IF(B72&lt;Global_Params!$B$30,0,MAX(1,ROUND(E72/260,0)))</f>
        <v>0</v>
      </c>
      <c r="U72" s="3" t="str">
        <f>IF(T72=0,"-","L")</f>
        <v>-</v>
      </c>
      <c r="V72" s="13">
        <f>IF(T72=0,0,ROUND(C72/2*Global_Params!$B$31,0))</f>
        <v>0</v>
      </c>
      <c r="W72" s="13">
        <f>IF(T72=0,0,ROUND(D72/2*Global_Params!$B$31,0))</f>
        <v>0</v>
      </c>
      <c r="X72" s="13">
        <f>IF(T72=0,0,Global_Params!$B$32)</f>
        <v>0</v>
      </c>
      <c r="Y72" s="13">
        <f>T72*Global_Params!$B$33</f>
        <v>0</v>
      </c>
    </row>
    <row r="73" ht="15.75" customHeight="1">
      <c r="A73" s="3">
        <v>9.0</v>
      </c>
      <c r="B73" s="3">
        <v>5.0</v>
      </c>
      <c r="C73" s="13">
        <f>MIN(Maps!$C$13-2,MAX(C72+2,ROUND(Maps!$C$13*Growth_Curve!$B$9/2,0)*2))</f>
        <v>50</v>
      </c>
      <c r="D73" s="13">
        <f>MIN(Maps!$D$13,MAX(D72,ROUND(Maps!$D$13*Growth_Curve!$B$9/2,0)*2))</f>
        <v>26</v>
      </c>
      <c r="E73" s="3">
        <f t="shared" si="1"/>
        <v>1300</v>
      </c>
      <c r="F73" s="3">
        <f t="shared" si="17"/>
        <v>376</v>
      </c>
      <c r="G73" s="3">
        <f>ROUND(C73/2,0)+Global_Params!$B$16</f>
        <v>27</v>
      </c>
      <c r="H73" s="3">
        <f>ROUND(D73/2,0)+Global_Params!$B$16</f>
        <v>15</v>
      </c>
      <c r="I73" s="14" t="s">
        <v>309</v>
      </c>
      <c r="J73" s="13">
        <f>ROUND(Global_Params!$B$17*(1+Global_Params!$B$18*(B73-1))*Maps!$H$13,0)</f>
        <v>310</v>
      </c>
      <c r="K73" s="3">
        <f t="shared" si="2"/>
        <v>197</v>
      </c>
      <c r="L73" s="3">
        <f>ROUND(J73*(Global_Params!$B$19+(Global_Params!$B$20-Global_Params!$B$19)*(B73-1)/(Global_Params!$B$7-1)),0)</f>
        <v>66</v>
      </c>
      <c r="M73" s="13">
        <f>ROUND(J73*IF(Maps!$G$13="Yes",Global_Params!$B$21,0),0)</f>
        <v>47</v>
      </c>
      <c r="N73" s="3">
        <f t="shared" si="3"/>
        <v>29</v>
      </c>
      <c r="O73" s="13">
        <f>MAX(1,MIN(Global_Params!$B$26,ROUND(F73/50,0)))</f>
        <v>3</v>
      </c>
      <c r="P73" s="3">
        <f t="shared" si="4"/>
        <v>17</v>
      </c>
      <c r="Q73" s="13">
        <f>ROUND(E73/100*Global_Params!$B$25,0)</f>
        <v>546</v>
      </c>
      <c r="R73" s="13" t="str">
        <f>Maps!$F$13</f>
        <v>Crystals</v>
      </c>
      <c r="S73" s="19">
        <f>Growth_Curve!$B$9</f>
        <v>0.79</v>
      </c>
      <c r="T73" s="13">
        <f>IF(B73&lt;Global_Params!$B$30,0,MAX(1,ROUND(E73/260,0)))</f>
        <v>5</v>
      </c>
      <c r="U73" s="3" t="str">
        <f>IF(T73=0,"-","R")</f>
        <v>R</v>
      </c>
      <c r="V73" s="13">
        <f>IF(T73=0,0,ROUND(C73/2*Global_Params!$B$31,0))</f>
        <v>20</v>
      </c>
      <c r="W73" s="13">
        <f>IF(T73=0,0,ROUND(D73/2*Global_Params!$B$31,0))</f>
        <v>10</v>
      </c>
      <c r="X73" s="13">
        <f>IF(T73=0,0,Global_Params!$B$32)</f>
        <v>4</v>
      </c>
      <c r="Y73" s="13">
        <f>T73*Global_Params!$B$33</f>
        <v>50</v>
      </c>
    </row>
    <row r="74" ht="15.75" customHeight="1">
      <c r="A74" s="3">
        <v>9.0</v>
      </c>
      <c r="B74" s="3">
        <v>6.0</v>
      </c>
      <c r="C74" s="13">
        <f>MIN(Maps!$C$13-2,MAX(C73+2,ROUND(Maps!$C$13*Growth_Curve!$B$10/2,0)*2))</f>
        <v>56</v>
      </c>
      <c r="D74" s="13">
        <f>MIN(Maps!$D$13,MAX(D73,ROUND(Maps!$D$13*Growth_Curve!$B$10/2,0)*2))</f>
        <v>28</v>
      </c>
      <c r="E74" s="3">
        <f t="shared" si="1"/>
        <v>1568</v>
      </c>
      <c r="F74" s="3">
        <f t="shared" si="17"/>
        <v>268</v>
      </c>
      <c r="G74" s="3">
        <f>ROUND(C74/2,0)+Global_Params!$B$16</f>
        <v>30</v>
      </c>
      <c r="H74" s="3">
        <f>ROUND(D74/2,0)+Global_Params!$B$16</f>
        <v>16</v>
      </c>
      <c r="I74" s="14" t="s">
        <v>310</v>
      </c>
      <c r="J74" s="13">
        <f>ROUND(Global_Params!$B$17*(1+Global_Params!$B$18*(B74-1))*Maps!$H$13,0)</f>
        <v>342</v>
      </c>
      <c r="K74" s="3">
        <f t="shared" si="2"/>
        <v>208</v>
      </c>
      <c r="L74" s="3">
        <f>ROUND(J74*(Global_Params!$B$19+(Global_Params!$B$20-Global_Params!$B$19)*(B74-1)/(Global_Params!$B$7-1)),0)</f>
        <v>83</v>
      </c>
      <c r="M74" s="13">
        <f>ROUND(J74*IF(Maps!$G$13="Yes",Global_Params!$B$21,0),0)</f>
        <v>51</v>
      </c>
      <c r="N74" s="3">
        <f t="shared" si="3"/>
        <v>35</v>
      </c>
      <c r="O74" s="13">
        <f>MAX(1,MIN(Global_Params!$B$26,ROUND(F74/50,0)))</f>
        <v>3</v>
      </c>
      <c r="P74" s="3">
        <f t="shared" si="4"/>
        <v>21</v>
      </c>
      <c r="Q74" s="13">
        <f>ROUND(E74/100*Global_Params!$B$25,0)</f>
        <v>659</v>
      </c>
      <c r="R74" s="13" t="str">
        <f>Maps!$F$13</f>
        <v>Crystals</v>
      </c>
      <c r="S74" s="19">
        <f>Growth_Curve!$B$10</f>
        <v>0.89</v>
      </c>
      <c r="T74" s="13">
        <f>IF(B74&lt;Global_Params!$B$30,0,MAX(1,ROUND(E74/260,0)))</f>
        <v>6</v>
      </c>
      <c r="U74" s="3" t="str">
        <f>IF(T74=0,"-","L")</f>
        <v>L</v>
      </c>
      <c r="V74" s="13">
        <f>IF(T74=0,0,ROUND(C74/2*Global_Params!$B$31,0))</f>
        <v>22</v>
      </c>
      <c r="W74" s="13">
        <f>IF(T74=0,0,ROUND(D74/2*Global_Params!$B$31,0))</f>
        <v>11</v>
      </c>
      <c r="X74" s="13">
        <f>IF(T74=0,0,Global_Params!$B$32)</f>
        <v>4</v>
      </c>
      <c r="Y74" s="13">
        <f>T74*Global_Params!$B$33</f>
        <v>60</v>
      </c>
    </row>
    <row r="75" ht="15.75" customHeight="1">
      <c r="A75" s="3">
        <v>9.0</v>
      </c>
      <c r="B75" s="3">
        <v>7.0</v>
      </c>
      <c r="C75" s="13">
        <f>MIN(Maps!$C$13-2,MAX(C74+2,ROUND(Maps!$C$13*Growth_Curve!$B$11/2,0)*2))</f>
        <v>62</v>
      </c>
      <c r="D75" s="13">
        <f>MIN(Maps!$D$13,MAX(D74,ROUND(Maps!$D$13*Growth_Curve!$B$11/2,0)*2))</f>
        <v>30</v>
      </c>
      <c r="E75" s="3">
        <f t="shared" si="1"/>
        <v>1860</v>
      </c>
      <c r="F75" s="3">
        <f t="shared" si="17"/>
        <v>292</v>
      </c>
      <c r="G75" s="3">
        <f>ROUND(C75/2,0)+Global_Params!$B$16</f>
        <v>33</v>
      </c>
      <c r="H75" s="3">
        <f>ROUND(D75/2,0)+Global_Params!$B$16</f>
        <v>17</v>
      </c>
      <c r="I75" s="14" t="s">
        <v>311</v>
      </c>
      <c r="J75" s="13">
        <f>ROUND(Global_Params!$B$17*(1+Global_Params!$B$18*(B75-1))*Maps!$H$13,0)</f>
        <v>374</v>
      </c>
      <c r="K75" s="3">
        <f t="shared" si="2"/>
        <v>216</v>
      </c>
      <c r="L75" s="3">
        <f>ROUND(J75*(Global_Params!$B$19+(Global_Params!$B$20-Global_Params!$B$19)*(B75-1)/(Global_Params!$B$7-1)),0)</f>
        <v>102</v>
      </c>
      <c r="M75" s="13">
        <f>ROUND(J75*IF(Maps!$G$13="Yes",Global_Params!$B$21,0),0)</f>
        <v>56</v>
      </c>
      <c r="N75" s="3">
        <f t="shared" si="3"/>
        <v>41</v>
      </c>
      <c r="O75" s="13">
        <f>MAX(1,MIN(Global_Params!$B$26,ROUND(F75/50,0)))</f>
        <v>3</v>
      </c>
      <c r="P75" s="3">
        <f t="shared" si="4"/>
        <v>25</v>
      </c>
      <c r="Q75" s="13">
        <f>ROUND(E75/100*Global_Params!$B$25,0)</f>
        <v>781</v>
      </c>
      <c r="R75" s="13" t="str">
        <f>Maps!$F$13</f>
        <v>Crystals</v>
      </c>
      <c r="S75" s="19">
        <f>Growth_Curve!$B$11</f>
        <v>0.96</v>
      </c>
      <c r="T75" s="13">
        <f>IF(B75&lt;Global_Params!$B$30,0,MAX(1,ROUND(E75/260,0)))</f>
        <v>7</v>
      </c>
      <c r="U75" s="3" t="str">
        <f>IF(T75=0,"-","B")</f>
        <v>B</v>
      </c>
      <c r="V75" s="13">
        <f>IF(T75=0,0,ROUND(C75/2*Global_Params!$B$31,0))</f>
        <v>25</v>
      </c>
      <c r="W75" s="13">
        <f>IF(T75=0,0,ROUND(D75/2*Global_Params!$B$31,0))</f>
        <v>12</v>
      </c>
      <c r="X75" s="13">
        <f>IF(T75=0,0,Global_Params!$B$32)</f>
        <v>4</v>
      </c>
      <c r="Y75" s="13">
        <f>T75*Global_Params!$B$33</f>
        <v>70</v>
      </c>
    </row>
    <row r="76" ht="15.75" customHeight="1">
      <c r="A76" s="3">
        <v>9.0</v>
      </c>
      <c r="B76" s="3">
        <v>8.0</v>
      </c>
      <c r="C76" s="13">
        <f>Maps!$C$13</f>
        <v>64</v>
      </c>
      <c r="D76" s="13">
        <f>Maps!$D$13</f>
        <v>32</v>
      </c>
      <c r="E76" s="3">
        <f t="shared" si="1"/>
        <v>2048</v>
      </c>
      <c r="F76" s="3">
        <f t="shared" si="17"/>
        <v>188</v>
      </c>
      <c r="G76" s="3">
        <f>ROUND(C76/2,0)+Global_Params!$B$16</f>
        <v>34</v>
      </c>
      <c r="H76" s="3">
        <f>ROUND(D76/2,0)+Global_Params!$B$16</f>
        <v>18</v>
      </c>
      <c r="I76" s="14" t="s">
        <v>312</v>
      </c>
      <c r="J76" s="13">
        <f>ROUND(Global_Params!$B$17*(1+Global_Params!$B$18*(B76-1))*Maps!$H$13,0)</f>
        <v>407</v>
      </c>
      <c r="K76" s="3">
        <f t="shared" si="2"/>
        <v>224</v>
      </c>
      <c r="L76" s="3">
        <f>ROUND(J76*(Global_Params!$B$19+(Global_Params!$B$20-Global_Params!$B$19)*(B76-1)/(Global_Params!$B$7-1)),0)</f>
        <v>122</v>
      </c>
      <c r="M76" s="13">
        <f>ROUND(J76*IF(Maps!$G$13="Yes",Global_Params!$B$21,0),0)</f>
        <v>61</v>
      </c>
      <c r="N76" s="3">
        <f t="shared" si="3"/>
        <v>46</v>
      </c>
      <c r="O76" s="13">
        <f>MAX(1,MIN(Global_Params!$B$26,ROUND(F76/50,0)))</f>
        <v>3</v>
      </c>
      <c r="P76" s="3">
        <f t="shared" si="4"/>
        <v>28</v>
      </c>
      <c r="Q76" s="13">
        <f>ROUND(E76/100*Global_Params!$B$25,0)</f>
        <v>860</v>
      </c>
      <c r="R76" s="13" t="str">
        <f>Maps!$F$13</f>
        <v>Crystals</v>
      </c>
      <c r="S76" s="19">
        <f>Growth_Curve!$B$12</f>
        <v>1</v>
      </c>
      <c r="T76" s="13">
        <f>IF(B76&lt;Global_Params!$B$30,0,MAX(1,ROUND(E76/260,0)))</f>
        <v>8</v>
      </c>
      <c r="U76" s="3" t="str">
        <f>IF(T76=0,"-","T")</f>
        <v>T</v>
      </c>
      <c r="V76" s="13">
        <f>IF(T76=0,0,ROUND(C76/2*Global_Params!$B$31,0))</f>
        <v>26</v>
      </c>
      <c r="W76" s="13">
        <f>IF(T76=0,0,ROUND(D76/2*Global_Params!$B$31,0))</f>
        <v>13</v>
      </c>
      <c r="X76" s="13">
        <f>IF(T76=0,0,Global_Params!$B$32)</f>
        <v>4</v>
      </c>
      <c r="Y76" s="13">
        <f>T76*Global_Params!$B$33</f>
        <v>80</v>
      </c>
    </row>
    <row r="77" ht="15.75" customHeight="1"/>
    <row r="78" ht="15.75" customHeight="1">
      <c r="A78" s="2" t="s">
        <v>313</v>
      </c>
    </row>
    <row r="79" ht="15.75" customHeight="1">
      <c r="A79" s="2" t="s">
        <v>314</v>
      </c>
    </row>
    <row r="80" ht="15.75" customHeight="1">
      <c r="A80" s="2" t="s">
        <v>315</v>
      </c>
    </row>
    <row r="81" ht="15.75" customHeight="1">
      <c r="A81" s="2" t="s">
        <v>316</v>
      </c>
    </row>
    <row r="82" ht="15.75" customHeight="1">
      <c r="A82" s="2" t="s">
        <v>317</v>
      </c>
    </row>
    <row r="83" ht="15.75" customHeight="1">
      <c r="A83" s="2" t="s">
        <v>318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14.0"/>
    <col customWidth="1" min="3" max="3" width="66.0"/>
    <col customWidth="1" min="4" max="26" width="8.71"/>
  </cols>
  <sheetData>
    <row r="1">
      <c r="A1" s="1" t="s">
        <v>319</v>
      </c>
    </row>
    <row r="2">
      <c r="A2" s="2" t="s">
        <v>320</v>
      </c>
    </row>
    <row r="4">
      <c r="A4" s="5" t="s">
        <v>321</v>
      </c>
      <c r="B4" s="5" t="s">
        <v>41</v>
      </c>
      <c r="C4" s="5" t="s">
        <v>43</v>
      </c>
    </row>
    <row r="5">
      <c r="A5" s="3" t="s">
        <v>322</v>
      </c>
      <c r="B5" s="24"/>
      <c r="C5" s="2"/>
    </row>
    <row r="6">
      <c r="A6" s="3" t="s">
        <v>145</v>
      </c>
      <c r="B6" s="8">
        <v>5.0</v>
      </c>
      <c r="C6" s="2" t="s">
        <v>323</v>
      </c>
    </row>
    <row r="7">
      <c r="A7" s="3" t="s">
        <v>182</v>
      </c>
      <c r="B7" s="8">
        <v>5.0</v>
      </c>
      <c r="C7" s="2" t="s">
        <v>324</v>
      </c>
    </row>
    <row r="8">
      <c r="A8" s="3" t="s">
        <v>325</v>
      </c>
      <c r="B8" s="25">
        <v>380.0</v>
      </c>
      <c r="C8" s="2" t="s">
        <v>326</v>
      </c>
    </row>
    <row r="9">
      <c r="A9" s="3" t="s">
        <v>327</v>
      </c>
      <c r="B9" s="25">
        <v>90.0</v>
      </c>
      <c r="C9" s="2" t="s">
        <v>328</v>
      </c>
    </row>
    <row r="10">
      <c r="A10" s="3" t="s">
        <v>329</v>
      </c>
      <c r="B10" s="25">
        <v>950.0</v>
      </c>
      <c r="C10" s="2" t="s">
        <v>330</v>
      </c>
    </row>
    <row r="11">
      <c r="A11" s="3" t="s">
        <v>331</v>
      </c>
      <c r="B11" s="25">
        <v>300.0</v>
      </c>
      <c r="C11" s="2" t="s">
        <v>332</v>
      </c>
    </row>
    <row r="12">
      <c r="A12" s="3" t="s">
        <v>333</v>
      </c>
      <c r="B12" s="26">
        <v>0.5</v>
      </c>
      <c r="C12" s="2" t="s">
        <v>334</v>
      </c>
    </row>
    <row r="13">
      <c r="A13" s="3" t="s">
        <v>335</v>
      </c>
      <c r="B13" s="25">
        <v>1400.0</v>
      </c>
      <c r="C13" s="2" t="s">
        <v>336</v>
      </c>
    </row>
    <row r="14">
      <c r="A14" s="3"/>
      <c r="B14" s="8"/>
      <c r="C14" s="2"/>
    </row>
    <row r="15">
      <c r="A15" s="3" t="s">
        <v>337</v>
      </c>
      <c r="B15" s="24"/>
      <c r="C15" s="2"/>
    </row>
    <row r="16">
      <c r="A16" s="3" t="s">
        <v>338</v>
      </c>
      <c r="B16" s="19">
        <f t="array" ref="B16">INDEX(Factions!$F$5:$F$13,MATCH($B$7,Factions!$A$5:$A$13,0))</f>
        <v>1.2</v>
      </c>
      <c r="C16" s="2" t="s">
        <v>339</v>
      </c>
    </row>
    <row r="17">
      <c r="A17" s="3" t="s">
        <v>340</v>
      </c>
      <c r="B17" s="13" t="str">
        <f t="array" ref="B17">INDEX(Maps!$F$5:$F$13,MATCH($B$6,Maps!$A$5:$A$13,0))</f>
        <v>Crystals</v>
      </c>
      <c r="C17" s="2" t="s">
        <v>341</v>
      </c>
    </row>
    <row r="18">
      <c r="A18" s="3" t="s">
        <v>342</v>
      </c>
      <c r="B18" s="13" t="str">
        <f t="array" ref="B18">INDEX(Factions!$C$5:$C$13,MATCH($B$7,Factions!$A$5:$A$13,0))</f>
        <v>Flowers</v>
      </c>
      <c r="C18" s="2" t="s">
        <v>343</v>
      </c>
    </row>
    <row r="19">
      <c r="A19" s="3" t="s">
        <v>344</v>
      </c>
      <c r="B19" s="13">
        <f>SUMIFS(Resources!$C$5:$C$10,Resources!$A$5:$A$10,$B$17,Resources!$B$5:$B$10,"Primary")</f>
        <v>9</v>
      </c>
      <c r="C19" s="2" t="s">
        <v>345</v>
      </c>
    </row>
    <row r="20">
      <c r="A20" s="3" t="s">
        <v>346</v>
      </c>
      <c r="B20" s="13">
        <f>SUMIFS(Resources!$C$5:$C$10,Resources!$A$5:$A$10,$B$18,Resources!$B$5:$B$10,"Premium")</f>
        <v>14</v>
      </c>
      <c r="C20" s="2" t="s">
        <v>345</v>
      </c>
    </row>
    <row r="21" ht="15.75" customHeight="1">
      <c r="A21" s="3" t="s">
        <v>347</v>
      </c>
      <c r="B21" s="27">
        <f t="array" ref="B21">INDEX(Maps!$I$5:$I$13,MATCH($B$6,Maps!$A$5:$A$13,0))</f>
        <v>3548</v>
      </c>
      <c r="C21" s="2" t="s">
        <v>348</v>
      </c>
    </row>
    <row r="22" ht="15.75" customHeight="1"/>
    <row r="23" ht="15.75" customHeight="1">
      <c r="A23" s="6" t="s">
        <v>349</v>
      </c>
      <c r="B23" s="7"/>
      <c r="C23" s="7"/>
    </row>
    <row r="24" ht="15.75" customHeight="1">
      <c r="A24" s="3" t="s">
        <v>350</v>
      </c>
      <c r="B24" s="18">
        <f>ROUND($B$8*$B$19*$B$16*Global_Params!$B$23,0)</f>
        <v>4104</v>
      </c>
      <c r="C24" s="2" t="s">
        <v>351</v>
      </c>
    </row>
    <row r="25" ht="15.75" customHeight="1">
      <c r="A25" s="3" t="s">
        <v>352</v>
      </c>
      <c r="B25" s="18">
        <f>ROUND($B$9*$B$20*$B$16*Global_Params!$B$23,0)</f>
        <v>1512</v>
      </c>
      <c r="C25" s="2" t="s">
        <v>353</v>
      </c>
    </row>
    <row r="26" ht="15.75" customHeight="1">
      <c r="A26" s="3" t="s">
        <v>354</v>
      </c>
      <c r="B26" s="28">
        <f>-($B$10+$B$11*$B$12)</f>
        <v>-1100</v>
      </c>
      <c r="C26" s="2" t="s">
        <v>355</v>
      </c>
    </row>
    <row r="27" ht="15.75" customHeight="1">
      <c r="A27" s="3" t="s">
        <v>356</v>
      </c>
      <c r="B27" s="18">
        <f>ROUND(MAX(0,($B$21-$B$13)/$B$21)*Global_Params!$B$24,0)</f>
        <v>242</v>
      </c>
      <c r="C27" s="2" t="s">
        <v>357</v>
      </c>
    </row>
    <row r="28" ht="15.75" customHeight="1">
      <c r="A28" s="4" t="s">
        <v>358</v>
      </c>
      <c r="B28" s="29">
        <f>$B$24+$B$25+$B$26+$B$27</f>
        <v>4758</v>
      </c>
      <c r="C28" s="2" t="s">
        <v>359</v>
      </c>
    </row>
    <row r="29" ht="15.75" customHeight="1"/>
    <row r="30" ht="15.75" customHeight="1">
      <c r="A30" s="6" t="s">
        <v>360</v>
      </c>
      <c r="B30" s="7"/>
      <c r="C30" s="7"/>
    </row>
    <row r="31" ht="15.75" customHeight="1">
      <c r="A31" s="3" t="s">
        <v>361</v>
      </c>
      <c r="B31" s="8">
        <v>3.0</v>
      </c>
      <c r="C31" s="2" t="s">
        <v>362</v>
      </c>
    </row>
    <row r="32" ht="15.75" customHeight="1">
      <c r="A32" s="3" t="s">
        <v>363</v>
      </c>
      <c r="B32" s="8">
        <v>4.0</v>
      </c>
      <c r="C32" s="2" t="s">
        <v>362</v>
      </c>
    </row>
    <row r="33" ht="15.75" customHeight="1">
      <c r="A33" s="3" t="s">
        <v>364</v>
      </c>
      <c r="B33" s="8">
        <v>3.0</v>
      </c>
      <c r="C33" s="2" t="s">
        <v>362</v>
      </c>
    </row>
    <row r="34" ht="15.75" customHeight="1">
      <c r="A34" s="3" t="s">
        <v>365</v>
      </c>
      <c r="B34" s="8">
        <v>2.0</v>
      </c>
      <c r="C34" s="2" t="s">
        <v>362</v>
      </c>
    </row>
    <row r="35" ht="15.75" customHeight="1">
      <c r="A35" s="3" t="s">
        <v>366</v>
      </c>
      <c r="B35" s="8">
        <v>4.0</v>
      </c>
      <c r="C35" s="2" t="s">
        <v>362</v>
      </c>
    </row>
    <row r="36" ht="15.75" customHeight="1">
      <c r="A36" s="3" t="s">
        <v>367</v>
      </c>
      <c r="B36" s="8">
        <v>3.0</v>
      </c>
      <c r="C36" s="2" t="s">
        <v>362</v>
      </c>
    </row>
    <row r="37" ht="15.75" customHeight="1">
      <c r="A37" s="3" t="s">
        <v>368</v>
      </c>
      <c r="B37" s="8">
        <v>3.0</v>
      </c>
      <c r="C37" s="2" t="s">
        <v>362</v>
      </c>
    </row>
    <row r="38" ht="15.75" customHeight="1">
      <c r="A38" s="3" t="s">
        <v>369</v>
      </c>
      <c r="B38" s="8">
        <v>5.0</v>
      </c>
      <c r="C38" s="2" t="s">
        <v>362</v>
      </c>
    </row>
    <row r="39" ht="15.75" customHeight="1">
      <c r="A39" s="4" t="s">
        <v>370</v>
      </c>
      <c r="B39" s="30">
        <f>AVERAGE(B31:B38)</f>
        <v>3.375</v>
      </c>
      <c r="C39" s="2" t="s">
        <v>371</v>
      </c>
    </row>
    <row r="40" ht="15.75" customHeight="1">
      <c r="A40" s="4" t="s">
        <v>372</v>
      </c>
      <c r="B40" s="31" t="str">
        <f>IF(B39&gt;=Global_Params!$B$8,"UNLOCKED","REPLAY")</f>
        <v>UNLOCKED</v>
      </c>
      <c r="C40" s="2" t="s">
        <v>373</v>
      </c>
    </row>
    <row r="41" ht="15.75" customHeight="1"/>
    <row r="42" ht="15.75" customHeight="1"/>
    <row r="43" ht="15.75" customHeight="1">
      <c r="A43" s="6" t="s">
        <v>374</v>
      </c>
      <c r="B43" s="7"/>
      <c r="C43" s="7"/>
    </row>
    <row r="44" ht="15.75" customHeight="1">
      <c r="A44" s="3" t="s">
        <v>375</v>
      </c>
      <c r="B44" s="8">
        <v>6.0</v>
      </c>
      <c r="C44" s="2" t="s">
        <v>376</v>
      </c>
    </row>
    <row r="45" ht="15.75" customHeight="1">
      <c r="A45" s="3" t="s">
        <v>154</v>
      </c>
      <c r="B45" s="13">
        <f t="array" ref="B45">INDEX(Maps!$J$5:$J$13,MATCH($B$6,Maps!$A$5:$A$13,0))</f>
        <v>9</v>
      </c>
      <c r="C45" s="2" t="s">
        <v>377</v>
      </c>
    </row>
    <row r="46" ht="15.75" customHeight="1">
      <c r="A46" s="3" t="s">
        <v>378</v>
      </c>
      <c r="B46" s="3">
        <f>B44*Global_Params!$B$33</f>
        <v>60</v>
      </c>
      <c r="C46" s="2" t="s">
        <v>379</v>
      </c>
    </row>
    <row r="47" ht="15.75" customHeight="1">
      <c r="A47" s="3" t="s">
        <v>186</v>
      </c>
      <c r="B47" s="13" t="str">
        <f t="array" ref="B47">INDEX(Factions!$E$5:$E$13,MATCH(B45,Factions!$A$5:$A$13,0))</f>
        <v>none</v>
      </c>
      <c r="C47" s="2" t="s">
        <v>380</v>
      </c>
    </row>
    <row r="48" ht="15.75" customHeight="1">
      <c r="A48" s="3" t="s">
        <v>381</v>
      </c>
      <c r="B48" s="32">
        <f>IF(B47="none",0,ROUND(B46*Global_Params!$B$34,0))</f>
        <v>0</v>
      </c>
      <c r="C48" s="2" t="s">
        <v>382</v>
      </c>
    </row>
    <row r="49" ht="15.75" customHeight="1"/>
    <row r="50" ht="15.75" customHeight="1">
      <c r="A50" s="2" t="s">
        <v>383</v>
      </c>
    </row>
    <row r="51" ht="15.75" customHeight="1">
      <c r="A51" s="2" t="s">
        <v>384</v>
      </c>
    </row>
    <row r="52" ht="15.75" customHeight="1">
      <c r="A52" s="2" t="s">
        <v>385</v>
      </c>
    </row>
    <row r="53" ht="15.75" customHeight="1">
      <c r="A53" s="2" t="s">
        <v>386</v>
      </c>
    </row>
    <row r="54" ht="15.75" customHeight="1">
      <c r="A54" s="2" t="s">
        <v>387</v>
      </c>
    </row>
    <row r="55" ht="15.75" customHeight="1">
      <c r="A55" s="2" t="s">
        <v>388</v>
      </c>
    </row>
    <row r="56" ht="15.75" customHeight="1">
      <c r="A56" s="2" t="s">
        <v>389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0.0"/>
    <col customWidth="1" min="3" max="3" width="14.0"/>
    <col customWidth="1" min="4" max="4" width="16.0"/>
    <col customWidth="1" min="5" max="5" width="18.0"/>
    <col customWidth="1" min="6" max="6" width="11.0"/>
    <col customWidth="1" min="7" max="7" width="16.0"/>
    <col customWidth="1" min="8" max="8" width="10.0"/>
    <col customWidth="1" min="9" max="26" width="8.71"/>
  </cols>
  <sheetData>
    <row r="1">
      <c r="A1" s="1" t="s">
        <v>390</v>
      </c>
    </row>
    <row r="2">
      <c r="A2" s="2" t="s">
        <v>391</v>
      </c>
    </row>
    <row r="4">
      <c r="A4" s="5" t="s">
        <v>392</v>
      </c>
      <c r="B4" s="5" t="s">
        <v>393</v>
      </c>
      <c r="C4" s="5" t="s">
        <v>302</v>
      </c>
      <c r="D4" s="5" t="s">
        <v>394</v>
      </c>
      <c r="E4" s="5" t="s">
        <v>395</v>
      </c>
      <c r="F4" s="5" t="s">
        <v>396</v>
      </c>
      <c r="G4" s="5" t="s">
        <v>397</v>
      </c>
      <c r="H4" s="5" t="s">
        <v>398</v>
      </c>
    </row>
    <row r="5">
      <c r="A5" s="13" t="str">
        <f>Maps!$B$5</f>
        <v>Map_01</v>
      </c>
      <c r="B5" s="13" t="str">
        <f>Factions!$B$5</f>
        <v>Faction_01</v>
      </c>
      <c r="C5" s="13" t="str">
        <f>Maps!$F$5</f>
        <v>Flowers</v>
      </c>
      <c r="D5" s="13" t="str">
        <f>Factions!$C$5</f>
        <v>Crystals</v>
      </c>
      <c r="E5" s="3" t="str">
        <f>IF(D5=C5,Factions!$D$5,D5)</f>
        <v>Crystals</v>
      </c>
      <c r="F5" s="3" t="str">
        <f t="shared" ref="F5:F85" si="1">IF(D5=C5,"SWAPPED","-")</f>
        <v>-</v>
      </c>
      <c r="G5" s="3" t="str">
        <f t="shared" ref="G5:G85" si="2">IF(AND(C5&lt;&gt;"Flowers",E5&lt;&gt;"Flowers"),"Flowers",IF(AND(C5&lt;&gt;"Crystals",E5&lt;&gt;"Crystals"),"Crystals","Minerals"))</f>
        <v>Minerals</v>
      </c>
      <c r="H5" s="3" t="str">
        <f t="shared" ref="H5:H85" si="3">IF(OR(C5=E5,C5=G5,E5=G5),"BROKEN","ok")</f>
        <v>ok</v>
      </c>
    </row>
    <row r="6">
      <c r="A6" s="13" t="str">
        <f>Maps!$B$5</f>
        <v>Map_01</v>
      </c>
      <c r="B6" s="13" t="str">
        <f>Factions!$B$6</f>
        <v>Faction_02</v>
      </c>
      <c r="C6" s="13" t="str">
        <f>Maps!$F$5</f>
        <v>Flowers</v>
      </c>
      <c r="D6" s="13" t="str">
        <f>Factions!$C$6</f>
        <v>Flowers</v>
      </c>
      <c r="E6" s="3" t="str">
        <f>IF(D6=C6,Factions!$D$6,D6)</f>
        <v>Crystals</v>
      </c>
      <c r="F6" s="3" t="str">
        <f t="shared" si="1"/>
        <v>SWAPPED</v>
      </c>
      <c r="G6" s="3" t="str">
        <f t="shared" si="2"/>
        <v>Minerals</v>
      </c>
      <c r="H6" s="3" t="str">
        <f t="shared" si="3"/>
        <v>ok</v>
      </c>
    </row>
    <row r="7">
      <c r="A7" s="13" t="str">
        <f>Maps!$B$5</f>
        <v>Map_01</v>
      </c>
      <c r="B7" s="13" t="str">
        <f>Factions!$B$7</f>
        <v>Faction_03</v>
      </c>
      <c r="C7" s="13" t="str">
        <f>Maps!$F$5</f>
        <v>Flowers</v>
      </c>
      <c r="D7" s="13" t="str">
        <f>Factions!$C$7</f>
        <v>Minerals</v>
      </c>
      <c r="E7" s="3" t="str">
        <f>IF(D7=C7,Factions!$D$7,D7)</f>
        <v>Minerals</v>
      </c>
      <c r="F7" s="3" t="str">
        <f t="shared" si="1"/>
        <v>-</v>
      </c>
      <c r="G7" s="3" t="str">
        <f t="shared" si="2"/>
        <v>Crystals</v>
      </c>
      <c r="H7" s="3" t="str">
        <f t="shared" si="3"/>
        <v>ok</v>
      </c>
    </row>
    <row r="8">
      <c r="A8" s="13" t="str">
        <f>Maps!$B$5</f>
        <v>Map_01</v>
      </c>
      <c r="B8" s="13" t="str">
        <f>Factions!$B$8</f>
        <v>Faction_04</v>
      </c>
      <c r="C8" s="13" t="str">
        <f>Maps!$F$5</f>
        <v>Flowers</v>
      </c>
      <c r="D8" s="13" t="str">
        <f>Factions!$C$8</f>
        <v>Crystals</v>
      </c>
      <c r="E8" s="3" t="str">
        <f>IF(D8=C8,Factions!$D$8,D8)</f>
        <v>Crystals</v>
      </c>
      <c r="F8" s="3" t="str">
        <f t="shared" si="1"/>
        <v>-</v>
      </c>
      <c r="G8" s="3" t="str">
        <f t="shared" si="2"/>
        <v>Minerals</v>
      </c>
      <c r="H8" s="3" t="str">
        <f t="shared" si="3"/>
        <v>ok</v>
      </c>
    </row>
    <row r="9">
      <c r="A9" s="13" t="str">
        <f>Maps!$B$5</f>
        <v>Map_01</v>
      </c>
      <c r="B9" s="13" t="str">
        <f>Factions!$B$9</f>
        <v>Faction_05</v>
      </c>
      <c r="C9" s="13" t="str">
        <f>Maps!$F$5</f>
        <v>Flowers</v>
      </c>
      <c r="D9" s="13" t="str">
        <f>Factions!$C$9</f>
        <v>Flowers</v>
      </c>
      <c r="E9" s="3" t="str">
        <f>IF(D9=C9,Factions!$D$9,D9)</f>
        <v>Minerals</v>
      </c>
      <c r="F9" s="3" t="str">
        <f t="shared" si="1"/>
        <v>SWAPPED</v>
      </c>
      <c r="G9" s="3" t="str">
        <f t="shared" si="2"/>
        <v>Crystals</v>
      </c>
      <c r="H9" s="3" t="str">
        <f t="shared" si="3"/>
        <v>ok</v>
      </c>
    </row>
    <row r="10">
      <c r="A10" s="13" t="str">
        <f>Maps!$B$5</f>
        <v>Map_01</v>
      </c>
      <c r="B10" s="13" t="str">
        <f>Factions!$B$10</f>
        <v>Faction_06</v>
      </c>
      <c r="C10" s="13" t="str">
        <f>Maps!$F$5</f>
        <v>Flowers</v>
      </c>
      <c r="D10" s="13" t="str">
        <f>Factions!$C$10</f>
        <v>Minerals</v>
      </c>
      <c r="E10" s="3" t="str">
        <f>IF(D10=C10,Factions!$D$10,D10)</f>
        <v>Minerals</v>
      </c>
      <c r="F10" s="3" t="str">
        <f t="shared" si="1"/>
        <v>-</v>
      </c>
      <c r="G10" s="3" t="str">
        <f t="shared" si="2"/>
        <v>Crystals</v>
      </c>
      <c r="H10" s="3" t="str">
        <f t="shared" si="3"/>
        <v>ok</v>
      </c>
    </row>
    <row r="11">
      <c r="A11" s="13" t="str">
        <f>Maps!$B$5</f>
        <v>Map_01</v>
      </c>
      <c r="B11" s="13" t="str">
        <f>Factions!$B$11</f>
        <v>Faction_07</v>
      </c>
      <c r="C11" s="13" t="str">
        <f>Maps!$F$5</f>
        <v>Flowers</v>
      </c>
      <c r="D11" s="13" t="str">
        <f>Factions!$C$11</f>
        <v>Crystals</v>
      </c>
      <c r="E11" s="3" t="str">
        <f>IF(D11=C11,Factions!$D$11,D11)</f>
        <v>Crystals</v>
      </c>
      <c r="F11" s="3" t="str">
        <f t="shared" si="1"/>
        <v>-</v>
      </c>
      <c r="G11" s="3" t="str">
        <f t="shared" si="2"/>
        <v>Minerals</v>
      </c>
      <c r="H11" s="3" t="str">
        <f t="shared" si="3"/>
        <v>ok</v>
      </c>
    </row>
    <row r="12">
      <c r="A12" s="13" t="str">
        <f>Maps!$B$5</f>
        <v>Map_01</v>
      </c>
      <c r="B12" s="13" t="str">
        <f>Factions!$B$12</f>
        <v>Faction_08</v>
      </c>
      <c r="C12" s="13" t="str">
        <f>Maps!$F$5</f>
        <v>Flowers</v>
      </c>
      <c r="D12" s="13" t="str">
        <f>Factions!$C$12</f>
        <v>Flowers</v>
      </c>
      <c r="E12" s="3" t="str">
        <f>IF(D12=C12,Factions!$D$12,D12)</f>
        <v>Crystals</v>
      </c>
      <c r="F12" s="3" t="str">
        <f t="shared" si="1"/>
        <v>SWAPPED</v>
      </c>
      <c r="G12" s="3" t="str">
        <f t="shared" si="2"/>
        <v>Minerals</v>
      </c>
      <c r="H12" s="3" t="str">
        <f t="shared" si="3"/>
        <v>ok</v>
      </c>
    </row>
    <row r="13">
      <c r="A13" s="13" t="str">
        <f>Maps!$B$5</f>
        <v>Map_01</v>
      </c>
      <c r="B13" s="13" t="str">
        <f>Factions!$B$13</f>
        <v>Faction_09</v>
      </c>
      <c r="C13" s="13" t="str">
        <f>Maps!$F$5</f>
        <v>Flowers</v>
      </c>
      <c r="D13" s="13" t="str">
        <f>Factions!$C$13</f>
        <v>Minerals</v>
      </c>
      <c r="E13" s="3" t="str">
        <f>IF(D13=C13,Factions!$D$13,D13)</f>
        <v>Minerals</v>
      </c>
      <c r="F13" s="3" t="str">
        <f t="shared" si="1"/>
        <v>-</v>
      </c>
      <c r="G13" s="3" t="str">
        <f t="shared" si="2"/>
        <v>Crystals</v>
      </c>
      <c r="H13" s="3" t="str">
        <f t="shared" si="3"/>
        <v>ok</v>
      </c>
    </row>
    <row r="14">
      <c r="A14" s="21" t="str">
        <f>Maps!$B$6</f>
        <v>Map_02</v>
      </c>
      <c r="B14" s="21" t="str">
        <f>Factions!$B$5</f>
        <v>Faction_01</v>
      </c>
      <c r="C14" s="21" t="str">
        <f>Maps!$F$6</f>
        <v>Flowers</v>
      </c>
      <c r="D14" s="21" t="str">
        <f>Factions!$C$5</f>
        <v>Crystals</v>
      </c>
      <c r="E14" s="20" t="str">
        <f>IF(D14=C14,Factions!$D$5,D14)</f>
        <v>Crystals</v>
      </c>
      <c r="F14" s="20" t="str">
        <f t="shared" si="1"/>
        <v>-</v>
      </c>
      <c r="G14" s="20" t="str">
        <f t="shared" si="2"/>
        <v>Minerals</v>
      </c>
      <c r="H14" s="20" t="str">
        <f t="shared" si="3"/>
        <v>ok</v>
      </c>
    </row>
    <row r="15">
      <c r="A15" s="21" t="str">
        <f>Maps!$B$6</f>
        <v>Map_02</v>
      </c>
      <c r="B15" s="21" t="str">
        <f>Factions!$B$6</f>
        <v>Faction_02</v>
      </c>
      <c r="C15" s="21" t="str">
        <f>Maps!$F$6</f>
        <v>Flowers</v>
      </c>
      <c r="D15" s="21" t="str">
        <f>Factions!$C$6</f>
        <v>Flowers</v>
      </c>
      <c r="E15" s="20" t="str">
        <f>IF(D15=C15,Factions!$D$6,D15)</f>
        <v>Crystals</v>
      </c>
      <c r="F15" s="20" t="str">
        <f t="shared" si="1"/>
        <v>SWAPPED</v>
      </c>
      <c r="G15" s="20" t="str">
        <f t="shared" si="2"/>
        <v>Minerals</v>
      </c>
      <c r="H15" s="20" t="str">
        <f t="shared" si="3"/>
        <v>ok</v>
      </c>
    </row>
    <row r="16">
      <c r="A16" s="21" t="str">
        <f>Maps!$B$6</f>
        <v>Map_02</v>
      </c>
      <c r="B16" s="21" t="str">
        <f>Factions!$B$7</f>
        <v>Faction_03</v>
      </c>
      <c r="C16" s="21" t="str">
        <f>Maps!$F$6</f>
        <v>Flowers</v>
      </c>
      <c r="D16" s="21" t="str">
        <f>Factions!$C$7</f>
        <v>Minerals</v>
      </c>
      <c r="E16" s="20" t="str">
        <f>IF(D16=C16,Factions!$D$7,D16)</f>
        <v>Minerals</v>
      </c>
      <c r="F16" s="20" t="str">
        <f t="shared" si="1"/>
        <v>-</v>
      </c>
      <c r="G16" s="20" t="str">
        <f t="shared" si="2"/>
        <v>Crystals</v>
      </c>
      <c r="H16" s="20" t="str">
        <f t="shared" si="3"/>
        <v>ok</v>
      </c>
    </row>
    <row r="17">
      <c r="A17" s="21" t="str">
        <f>Maps!$B$6</f>
        <v>Map_02</v>
      </c>
      <c r="B17" s="21" t="str">
        <f>Factions!$B$8</f>
        <v>Faction_04</v>
      </c>
      <c r="C17" s="21" t="str">
        <f>Maps!$F$6</f>
        <v>Flowers</v>
      </c>
      <c r="D17" s="21" t="str">
        <f>Factions!$C$8</f>
        <v>Crystals</v>
      </c>
      <c r="E17" s="20" t="str">
        <f>IF(D17=C17,Factions!$D$8,D17)</f>
        <v>Crystals</v>
      </c>
      <c r="F17" s="20" t="str">
        <f t="shared" si="1"/>
        <v>-</v>
      </c>
      <c r="G17" s="20" t="str">
        <f t="shared" si="2"/>
        <v>Minerals</v>
      </c>
      <c r="H17" s="20" t="str">
        <f t="shared" si="3"/>
        <v>ok</v>
      </c>
    </row>
    <row r="18">
      <c r="A18" s="21" t="str">
        <f>Maps!$B$6</f>
        <v>Map_02</v>
      </c>
      <c r="B18" s="21" t="str">
        <f>Factions!$B$9</f>
        <v>Faction_05</v>
      </c>
      <c r="C18" s="21" t="str">
        <f>Maps!$F$6</f>
        <v>Flowers</v>
      </c>
      <c r="D18" s="21" t="str">
        <f>Factions!$C$9</f>
        <v>Flowers</v>
      </c>
      <c r="E18" s="20" t="str">
        <f>IF(D18=C18,Factions!$D$9,D18)</f>
        <v>Minerals</v>
      </c>
      <c r="F18" s="20" t="str">
        <f t="shared" si="1"/>
        <v>SWAPPED</v>
      </c>
      <c r="G18" s="20" t="str">
        <f t="shared" si="2"/>
        <v>Crystals</v>
      </c>
      <c r="H18" s="20" t="str">
        <f t="shared" si="3"/>
        <v>ok</v>
      </c>
    </row>
    <row r="19">
      <c r="A19" s="21" t="str">
        <f>Maps!$B$6</f>
        <v>Map_02</v>
      </c>
      <c r="B19" s="21" t="str">
        <f>Factions!$B$10</f>
        <v>Faction_06</v>
      </c>
      <c r="C19" s="21" t="str">
        <f>Maps!$F$6</f>
        <v>Flowers</v>
      </c>
      <c r="D19" s="21" t="str">
        <f>Factions!$C$10</f>
        <v>Minerals</v>
      </c>
      <c r="E19" s="20" t="str">
        <f>IF(D19=C19,Factions!$D$10,D19)</f>
        <v>Minerals</v>
      </c>
      <c r="F19" s="20" t="str">
        <f t="shared" si="1"/>
        <v>-</v>
      </c>
      <c r="G19" s="20" t="str">
        <f t="shared" si="2"/>
        <v>Crystals</v>
      </c>
      <c r="H19" s="20" t="str">
        <f t="shared" si="3"/>
        <v>ok</v>
      </c>
    </row>
    <row r="20">
      <c r="A20" s="21" t="str">
        <f>Maps!$B$6</f>
        <v>Map_02</v>
      </c>
      <c r="B20" s="21" t="str">
        <f>Factions!$B$11</f>
        <v>Faction_07</v>
      </c>
      <c r="C20" s="21" t="str">
        <f>Maps!$F$6</f>
        <v>Flowers</v>
      </c>
      <c r="D20" s="21" t="str">
        <f>Factions!$C$11</f>
        <v>Crystals</v>
      </c>
      <c r="E20" s="20" t="str">
        <f>IF(D20=C20,Factions!$D$11,D20)</f>
        <v>Crystals</v>
      </c>
      <c r="F20" s="20" t="str">
        <f t="shared" si="1"/>
        <v>-</v>
      </c>
      <c r="G20" s="20" t="str">
        <f t="shared" si="2"/>
        <v>Minerals</v>
      </c>
      <c r="H20" s="20" t="str">
        <f t="shared" si="3"/>
        <v>ok</v>
      </c>
    </row>
    <row r="21" ht="15.75" customHeight="1">
      <c r="A21" s="21" t="str">
        <f>Maps!$B$6</f>
        <v>Map_02</v>
      </c>
      <c r="B21" s="21" t="str">
        <f>Factions!$B$12</f>
        <v>Faction_08</v>
      </c>
      <c r="C21" s="21" t="str">
        <f>Maps!$F$6</f>
        <v>Flowers</v>
      </c>
      <c r="D21" s="21" t="str">
        <f>Factions!$C$12</f>
        <v>Flowers</v>
      </c>
      <c r="E21" s="20" t="str">
        <f>IF(D21=C21,Factions!$D$12,D21)</f>
        <v>Crystals</v>
      </c>
      <c r="F21" s="20" t="str">
        <f t="shared" si="1"/>
        <v>SWAPPED</v>
      </c>
      <c r="G21" s="20" t="str">
        <f t="shared" si="2"/>
        <v>Minerals</v>
      </c>
      <c r="H21" s="20" t="str">
        <f t="shared" si="3"/>
        <v>ok</v>
      </c>
    </row>
    <row r="22" ht="15.75" customHeight="1">
      <c r="A22" s="21" t="str">
        <f>Maps!$B$6</f>
        <v>Map_02</v>
      </c>
      <c r="B22" s="21" t="str">
        <f>Factions!$B$13</f>
        <v>Faction_09</v>
      </c>
      <c r="C22" s="21" t="str">
        <f>Maps!$F$6</f>
        <v>Flowers</v>
      </c>
      <c r="D22" s="21" t="str">
        <f>Factions!$C$13</f>
        <v>Minerals</v>
      </c>
      <c r="E22" s="20" t="str">
        <f>IF(D22=C22,Factions!$D$13,D22)</f>
        <v>Minerals</v>
      </c>
      <c r="F22" s="20" t="str">
        <f t="shared" si="1"/>
        <v>-</v>
      </c>
      <c r="G22" s="20" t="str">
        <f t="shared" si="2"/>
        <v>Crystals</v>
      </c>
      <c r="H22" s="20" t="str">
        <f t="shared" si="3"/>
        <v>ok</v>
      </c>
    </row>
    <row r="23" ht="15.75" customHeight="1">
      <c r="A23" s="13" t="str">
        <f>Maps!$B$7</f>
        <v>Map_03</v>
      </c>
      <c r="B23" s="13" t="str">
        <f>Factions!$B$5</f>
        <v>Faction_01</v>
      </c>
      <c r="C23" s="13" t="str">
        <f>Maps!$F$7</f>
        <v>Minerals</v>
      </c>
      <c r="D23" s="13" t="str">
        <f>Factions!$C$5</f>
        <v>Crystals</v>
      </c>
      <c r="E23" s="3" t="str">
        <f>IF(D23=C23,Factions!$D$5,D23)</f>
        <v>Crystals</v>
      </c>
      <c r="F23" s="3" t="str">
        <f t="shared" si="1"/>
        <v>-</v>
      </c>
      <c r="G23" s="3" t="str">
        <f t="shared" si="2"/>
        <v>Flowers</v>
      </c>
      <c r="H23" s="3" t="str">
        <f t="shared" si="3"/>
        <v>ok</v>
      </c>
    </row>
    <row r="24" ht="15.75" customHeight="1">
      <c r="A24" s="13" t="str">
        <f>Maps!$B$7</f>
        <v>Map_03</v>
      </c>
      <c r="B24" s="13" t="str">
        <f>Factions!$B$6</f>
        <v>Faction_02</v>
      </c>
      <c r="C24" s="13" t="str">
        <f>Maps!$F$7</f>
        <v>Minerals</v>
      </c>
      <c r="D24" s="13" t="str">
        <f>Factions!$C$6</f>
        <v>Flowers</v>
      </c>
      <c r="E24" s="3" t="str">
        <f>IF(D24=C24,Factions!$D$6,D24)</f>
        <v>Flowers</v>
      </c>
      <c r="F24" s="3" t="str">
        <f t="shared" si="1"/>
        <v>-</v>
      </c>
      <c r="G24" s="3" t="str">
        <f t="shared" si="2"/>
        <v>Crystals</v>
      </c>
      <c r="H24" s="3" t="str">
        <f t="shared" si="3"/>
        <v>ok</v>
      </c>
    </row>
    <row r="25" ht="15.75" customHeight="1">
      <c r="A25" s="13" t="str">
        <f>Maps!$B$7</f>
        <v>Map_03</v>
      </c>
      <c r="B25" s="13" t="str">
        <f>Factions!$B$7</f>
        <v>Faction_03</v>
      </c>
      <c r="C25" s="13" t="str">
        <f>Maps!$F$7</f>
        <v>Minerals</v>
      </c>
      <c r="D25" s="13" t="str">
        <f>Factions!$C$7</f>
        <v>Minerals</v>
      </c>
      <c r="E25" s="3" t="str">
        <f>IF(D25=C25,Factions!$D$7,D25)</f>
        <v>Flowers</v>
      </c>
      <c r="F25" s="3" t="str">
        <f t="shared" si="1"/>
        <v>SWAPPED</v>
      </c>
      <c r="G25" s="3" t="str">
        <f t="shared" si="2"/>
        <v>Crystals</v>
      </c>
      <c r="H25" s="3" t="str">
        <f t="shared" si="3"/>
        <v>ok</v>
      </c>
    </row>
    <row r="26" ht="15.75" customHeight="1">
      <c r="A26" s="13" t="str">
        <f>Maps!$B$7</f>
        <v>Map_03</v>
      </c>
      <c r="B26" s="13" t="str">
        <f>Factions!$B$8</f>
        <v>Faction_04</v>
      </c>
      <c r="C26" s="13" t="str">
        <f>Maps!$F$7</f>
        <v>Minerals</v>
      </c>
      <c r="D26" s="13" t="str">
        <f>Factions!$C$8</f>
        <v>Crystals</v>
      </c>
      <c r="E26" s="3" t="str">
        <f>IF(D26=C26,Factions!$D$8,D26)</f>
        <v>Crystals</v>
      </c>
      <c r="F26" s="3" t="str">
        <f t="shared" si="1"/>
        <v>-</v>
      </c>
      <c r="G26" s="3" t="str">
        <f t="shared" si="2"/>
        <v>Flowers</v>
      </c>
      <c r="H26" s="3" t="str">
        <f t="shared" si="3"/>
        <v>ok</v>
      </c>
    </row>
    <row r="27" ht="15.75" customHeight="1">
      <c r="A27" s="13" t="str">
        <f>Maps!$B$7</f>
        <v>Map_03</v>
      </c>
      <c r="B27" s="13" t="str">
        <f>Factions!$B$9</f>
        <v>Faction_05</v>
      </c>
      <c r="C27" s="13" t="str">
        <f>Maps!$F$7</f>
        <v>Minerals</v>
      </c>
      <c r="D27" s="13" t="str">
        <f>Factions!$C$9</f>
        <v>Flowers</v>
      </c>
      <c r="E27" s="3" t="str">
        <f>IF(D27=C27,Factions!$D$9,D27)</f>
        <v>Flowers</v>
      </c>
      <c r="F27" s="3" t="str">
        <f t="shared" si="1"/>
        <v>-</v>
      </c>
      <c r="G27" s="3" t="str">
        <f t="shared" si="2"/>
        <v>Crystals</v>
      </c>
      <c r="H27" s="3" t="str">
        <f t="shared" si="3"/>
        <v>ok</v>
      </c>
    </row>
    <row r="28" ht="15.75" customHeight="1">
      <c r="A28" s="13" t="str">
        <f>Maps!$B$7</f>
        <v>Map_03</v>
      </c>
      <c r="B28" s="13" t="str">
        <f>Factions!$B$10</f>
        <v>Faction_06</v>
      </c>
      <c r="C28" s="13" t="str">
        <f>Maps!$F$7</f>
        <v>Minerals</v>
      </c>
      <c r="D28" s="13" t="str">
        <f>Factions!$C$10</f>
        <v>Minerals</v>
      </c>
      <c r="E28" s="3" t="str">
        <f>IF(D28=C28,Factions!$D$10,D28)</f>
        <v>Crystals</v>
      </c>
      <c r="F28" s="3" t="str">
        <f t="shared" si="1"/>
        <v>SWAPPED</v>
      </c>
      <c r="G28" s="3" t="str">
        <f t="shared" si="2"/>
        <v>Flowers</v>
      </c>
      <c r="H28" s="3" t="str">
        <f t="shared" si="3"/>
        <v>ok</v>
      </c>
    </row>
    <row r="29" ht="15.75" customHeight="1">
      <c r="A29" s="13" t="str">
        <f>Maps!$B$7</f>
        <v>Map_03</v>
      </c>
      <c r="B29" s="13" t="str">
        <f>Factions!$B$11</f>
        <v>Faction_07</v>
      </c>
      <c r="C29" s="13" t="str">
        <f>Maps!$F$7</f>
        <v>Minerals</v>
      </c>
      <c r="D29" s="13" t="str">
        <f>Factions!$C$11</f>
        <v>Crystals</v>
      </c>
      <c r="E29" s="3" t="str">
        <f>IF(D29=C29,Factions!$D$11,D29)</f>
        <v>Crystals</v>
      </c>
      <c r="F29" s="3" t="str">
        <f t="shared" si="1"/>
        <v>-</v>
      </c>
      <c r="G29" s="3" t="str">
        <f t="shared" si="2"/>
        <v>Flowers</v>
      </c>
      <c r="H29" s="3" t="str">
        <f t="shared" si="3"/>
        <v>ok</v>
      </c>
    </row>
    <row r="30" ht="15.75" customHeight="1">
      <c r="A30" s="13" t="str">
        <f>Maps!$B$7</f>
        <v>Map_03</v>
      </c>
      <c r="B30" s="13" t="str">
        <f>Factions!$B$12</f>
        <v>Faction_08</v>
      </c>
      <c r="C30" s="13" t="str">
        <f>Maps!$F$7</f>
        <v>Minerals</v>
      </c>
      <c r="D30" s="13" t="str">
        <f>Factions!$C$12</f>
        <v>Flowers</v>
      </c>
      <c r="E30" s="3" t="str">
        <f>IF(D30=C30,Factions!$D$12,D30)</f>
        <v>Flowers</v>
      </c>
      <c r="F30" s="3" t="str">
        <f t="shared" si="1"/>
        <v>-</v>
      </c>
      <c r="G30" s="3" t="str">
        <f t="shared" si="2"/>
        <v>Crystals</v>
      </c>
      <c r="H30" s="3" t="str">
        <f t="shared" si="3"/>
        <v>ok</v>
      </c>
    </row>
    <row r="31" ht="15.75" customHeight="1">
      <c r="A31" s="13" t="str">
        <f>Maps!$B$7</f>
        <v>Map_03</v>
      </c>
      <c r="B31" s="13" t="str">
        <f>Factions!$B$13</f>
        <v>Faction_09</v>
      </c>
      <c r="C31" s="13" t="str">
        <f>Maps!$F$7</f>
        <v>Minerals</v>
      </c>
      <c r="D31" s="13" t="str">
        <f>Factions!$C$13</f>
        <v>Minerals</v>
      </c>
      <c r="E31" s="3" t="str">
        <f>IF(D31=C31,Factions!$D$13,D31)</f>
        <v>Flowers</v>
      </c>
      <c r="F31" s="3" t="str">
        <f t="shared" si="1"/>
        <v>SWAPPED</v>
      </c>
      <c r="G31" s="3" t="str">
        <f t="shared" si="2"/>
        <v>Crystals</v>
      </c>
      <c r="H31" s="3" t="str">
        <f t="shared" si="3"/>
        <v>ok</v>
      </c>
    </row>
    <row r="32" ht="15.75" customHeight="1">
      <c r="A32" s="21" t="str">
        <f>Maps!$B$8</f>
        <v>Map_04</v>
      </c>
      <c r="B32" s="21" t="str">
        <f>Factions!$B$5</f>
        <v>Faction_01</v>
      </c>
      <c r="C32" s="21" t="str">
        <f>Maps!$F$8</f>
        <v>Minerals</v>
      </c>
      <c r="D32" s="21" t="str">
        <f>Factions!$C$5</f>
        <v>Crystals</v>
      </c>
      <c r="E32" s="20" t="str">
        <f>IF(D32=C32,Factions!$D$5,D32)</f>
        <v>Crystals</v>
      </c>
      <c r="F32" s="20" t="str">
        <f t="shared" si="1"/>
        <v>-</v>
      </c>
      <c r="G32" s="20" t="str">
        <f t="shared" si="2"/>
        <v>Flowers</v>
      </c>
      <c r="H32" s="20" t="str">
        <f t="shared" si="3"/>
        <v>ok</v>
      </c>
    </row>
    <row r="33" ht="15.75" customHeight="1">
      <c r="A33" s="21" t="str">
        <f>Maps!$B$8</f>
        <v>Map_04</v>
      </c>
      <c r="B33" s="21" t="str">
        <f>Factions!$B$6</f>
        <v>Faction_02</v>
      </c>
      <c r="C33" s="21" t="str">
        <f>Maps!$F$8</f>
        <v>Minerals</v>
      </c>
      <c r="D33" s="21" t="str">
        <f>Factions!$C$6</f>
        <v>Flowers</v>
      </c>
      <c r="E33" s="20" t="str">
        <f>IF(D33=C33,Factions!$D$6,D33)</f>
        <v>Flowers</v>
      </c>
      <c r="F33" s="20" t="str">
        <f t="shared" si="1"/>
        <v>-</v>
      </c>
      <c r="G33" s="20" t="str">
        <f t="shared" si="2"/>
        <v>Crystals</v>
      </c>
      <c r="H33" s="20" t="str">
        <f t="shared" si="3"/>
        <v>ok</v>
      </c>
    </row>
    <row r="34" ht="15.75" customHeight="1">
      <c r="A34" s="21" t="str">
        <f>Maps!$B$8</f>
        <v>Map_04</v>
      </c>
      <c r="B34" s="21" t="str">
        <f>Factions!$B$7</f>
        <v>Faction_03</v>
      </c>
      <c r="C34" s="21" t="str">
        <f>Maps!$F$8</f>
        <v>Minerals</v>
      </c>
      <c r="D34" s="21" t="str">
        <f>Factions!$C$7</f>
        <v>Minerals</v>
      </c>
      <c r="E34" s="20" t="str">
        <f>IF(D34=C34,Factions!$D$7,D34)</f>
        <v>Flowers</v>
      </c>
      <c r="F34" s="20" t="str">
        <f t="shared" si="1"/>
        <v>SWAPPED</v>
      </c>
      <c r="G34" s="20" t="str">
        <f t="shared" si="2"/>
        <v>Crystals</v>
      </c>
      <c r="H34" s="20" t="str">
        <f t="shared" si="3"/>
        <v>ok</v>
      </c>
    </row>
    <row r="35" ht="15.75" customHeight="1">
      <c r="A35" s="21" t="str">
        <f>Maps!$B$8</f>
        <v>Map_04</v>
      </c>
      <c r="B35" s="21" t="str">
        <f>Factions!$B$8</f>
        <v>Faction_04</v>
      </c>
      <c r="C35" s="21" t="str">
        <f>Maps!$F$8</f>
        <v>Minerals</v>
      </c>
      <c r="D35" s="21" t="str">
        <f>Factions!$C$8</f>
        <v>Crystals</v>
      </c>
      <c r="E35" s="20" t="str">
        <f>IF(D35=C35,Factions!$D$8,D35)</f>
        <v>Crystals</v>
      </c>
      <c r="F35" s="20" t="str">
        <f t="shared" si="1"/>
        <v>-</v>
      </c>
      <c r="G35" s="20" t="str">
        <f t="shared" si="2"/>
        <v>Flowers</v>
      </c>
      <c r="H35" s="20" t="str">
        <f t="shared" si="3"/>
        <v>ok</v>
      </c>
    </row>
    <row r="36" ht="15.75" customHeight="1">
      <c r="A36" s="21" t="str">
        <f>Maps!$B$8</f>
        <v>Map_04</v>
      </c>
      <c r="B36" s="21" t="str">
        <f>Factions!$B$9</f>
        <v>Faction_05</v>
      </c>
      <c r="C36" s="21" t="str">
        <f>Maps!$F$8</f>
        <v>Minerals</v>
      </c>
      <c r="D36" s="21" t="str">
        <f>Factions!$C$9</f>
        <v>Flowers</v>
      </c>
      <c r="E36" s="20" t="str">
        <f>IF(D36=C36,Factions!$D$9,D36)</f>
        <v>Flowers</v>
      </c>
      <c r="F36" s="20" t="str">
        <f t="shared" si="1"/>
        <v>-</v>
      </c>
      <c r="G36" s="20" t="str">
        <f t="shared" si="2"/>
        <v>Crystals</v>
      </c>
      <c r="H36" s="20" t="str">
        <f t="shared" si="3"/>
        <v>ok</v>
      </c>
    </row>
    <row r="37" ht="15.75" customHeight="1">
      <c r="A37" s="21" t="str">
        <f>Maps!$B$8</f>
        <v>Map_04</v>
      </c>
      <c r="B37" s="21" t="str">
        <f>Factions!$B$10</f>
        <v>Faction_06</v>
      </c>
      <c r="C37" s="21" t="str">
        <f>Maps!$F$8</f>
        <v>Minerals</v>
      </c>
      <c r="D37" s="21" t="str">
        <f>Factions!$C$10</f>
        <v>Minerals</v>
      </c>
      <c r="E37" s="20" t="str">
        <f>IF(D37=C37,Factions!$D$10,D37)</f>
        <v>Crystals</v>
      </c>
      <c r="F37" s="20" t="str">
        <f t="shared" si="1"/>
        <v>SWAPPED</v>
      </c>
      <c r="G37" s="20" t="str">
        <f t="shared" si="2"/>
        <v>Flowers</v>
      </c>
      <c r="H37" s="20" t="str">
        <f t="shared" si="3"/>
        <v>ok</v>
      </c>
    </row>
    <row r="38" ht="15.75" customHeight="1">
      <c r="A38" s="21" t="str">
        <f>Maps!$B$8</f>
        <v>Map_04</v>
      </c>
      <c r="B38" s="21" t="str">
        <f>Factions!$B$11</f>
        <v>Faction_07</v>
      </c>
      <c r="C38" s="21" t="str">
        <f>Maps!$F$8</f>
        <v>Minerals</v>
      </c>
      <c r="D38" s="21" t="str">
        <f>Factions!$C$11</f>
        <v>Crystals</v>
      </c>
      <c r="E38" s="20" t="str">
        <f>IF(D38=C38,Factions!$D$11,D38)</f>
        <v>Crystals</v>
      </c>
      <c r="F38" s="20" t="str">
        <f t="shared" si="1"/>
        <v>-</v>
      </c>
      <c r="G38" s="20" t="str">
        <f t="shared" si="2"/>
        <v>Flowers</v>
      </c>
      <c r="H38" s="20" t="str">
        <f t="shared" si="3"/>
        <v>ok</v>
      </c>
    </row>
    <row r="39" ht="15.75" customHeight="1">
      <c r="A39" s="21" t="str">
        <f>Maps!$B$8</f>
        <v>Map_04</v>
      </c>
      <c r="B39" s="21" t="str">
        <f>Factions!$B$12</f>
        <v>Faction_08</v>
      </c>
      <c r="C39" s="21" t="str">
        <f>Maps!$F$8</f>
        <v>Minerals</v>
      </c>
      <c r="D39" s="21" t="str">
        <f>Factions!$C$12</f>
        <v>Flowers</v>
      </c>
      <c r="E39" s="20" t="str">
        <f>IF(D39=C39,Factions!$D$12,D39)</f>
        <v>Flowers</v>
      </c>
      <c r="F39" s="20" t="str">
        <f t="shared" si="1"/>
        <v>-</v>
      </c>
      <c r="G39" s="20" t="str">
        <f t="shared" si="2"/>
        <v>Crystals</v>
      </c>
      <c r="H39" s="20" t="str">
        <f t="shared" si="3"/>
        <v>ok</v>
      </c>
    </row>
    <row r="40" ht="15.75" customHeight="1">
      <c r="A40" s="21" t="str">
        <f>Maps!$B$8</f>
        <v>Map_04</v>
      </c>
      <c r="B40" s="21" t="str">
        <f>Factions!$B$13</f>
        <v>Faction_09</v>
      </c>
      <c r="C40" s="21" t="str">
        <f>Maps!$F$8</f>
        <v>Minerals</v>
      </c>
      <c r="D40" s="21" t="str">
        <f>Factions!$C$13</f>
        <v>Minerals</v>
      </c>
      <c r="E40" s="20" t="str">
        <f>IF(D40=C40,Factions!$D$13,D40)</f>
        <v>Flowers</v>
      </c>
      <c r="F40" s="20" t="str">
        <f t="shared" si="1"/>
        <v>SWAPPED</v>
      </c>
      <c r="G40" s="20" t="str">
        <f t="shared" si="2"/>
        <v>Crystals</v>
      </c>
      <c r="H40" s="20" t="str">
        <f t="shared" si="3"/>
        <v>ok</v>
      </c>
    </row>
    <row r="41" ht="15.75" customHeight="1">
      <c r="A41" s="13" t="str">
        <f>Maps!$B$9</f>
        <v>Map_05</v>
      </c>
      <c r="B41" s="13" t="str">
        <f>Factions!$B$5</f>
        <v>Faction_01</v>
      </c>
      <c r="C41" s="13" t="str">
        <f>Maps!$F$9</f>
        <v>Crystals</v>
      </c>
      <c r="D41" s="13" t="str">
        <f>Factions!$C$5</f>
        <v>Crystals</v>
      </c>
      <c r="E41" s="3" t="str">
        <f>IF(D41=C41,Factions!$D$5,D41)</f>
        <v>Minerals</v>
      </c>
      <c r="F41" s="3" t="str">
        <f t="shared" si="1"/>
        <v>SWAPPED</v>
      </c>
      <c r="G41" s="3" t="str">
        <f t="shared" si="2"/>
        <v>Flowers</v>
      </c>
      <c r="H41" s="3" t="str">
        <f t="shared" si="3"/>
        <v>ok</v>
      </c>
    </row>
    <row r="42" ht="15.75" customHeight="1">
      <c r="A42" s="13" t="str">
        <f>Maps!$B$9</f>
        <v>Map_05</v>
      </c>
      <c r="B42" s="13" t="str">
        <f>Factions!$B$6</f>
        <v>Faction_02</v>
      </c>
      <c r="C42" s="13" t="str">
        <f>Maps!$F$9</f>
        <v>Crystals</v>
      </c>
      <c r="D42" s="13" t="str">
        <f>Factions!$C$6</f>
        <v>Flowers</v>
      </c>
      <c r="E42" s="3" t="str">
        <f>IF(D42=C42,Factions!$D$6,D42)</f>
        <v>Flowers</v>
      </c>
      <c r="F42" s="3" t="str">
        <f t="shared" si="1"/>
        <v>-</v>
      </c>
      <c r="G42" s="3" t="str">
        <f t="shared" si="2"/>
        <v>Minerals</v>
      </c>
      <c r="H42" s="3" t="str">
        <f t="shared" si="3"/>
        <v>ok</v>
      </c>
    </row>
    <row r="43" ht="15.75" customHeight="1">
      <c r="A43" s="13" t="str">
        <f>Maps!$B$9</f>
        <v>Map_05</v>
      </c>
      <c r="B43" s="13" t="str">
        <f>Factions!$B$7</f>
        <v>Faction_03</v>
      </c>
      <c r="C43" s="13" t="str">
        <f>Maps!$F$9</f>
        <v>Crystals</v>
      </c>
      <c r="D43" s="13" t="str">
        <f>Factions!$C$7</f>
        <v>Minerals</v>
      </c>
      <c r="E43" s="3" t="str">
        <f>IF(D43=C43,Factions!$D$7,D43)</f>
        <v>Minerals</v>
      </c>
      <c r="F43" s="3" t="str">
        <f t="shared" si="1"/>
        <v>-</v>
      </c>
      <c r="G43" s="3" t="str">
        <f t="shared" si="2"/>
        <v>Flowers</v>
      </c>
      <c r="H43" s="3" t="str">
        <f t="shared" si="3"/>
        <v>ok</v>
      </c>
    </row>
    <row r="44" ht="15.75" customHeight="1">
      <c r="A44" s="13" t="str">
        <f>Maps!$B$9</f>
        <v>Map_05</v>
      </c>
      <c r="B44" s="13" t="str">
        <f>Factions!$B$8</f>
        <v>Faction_04</v>
      </c>
      <c r="C44" s="13" t="str">
        <f>Maps!$F$9</f>
        <v>Crystals</v>
      </c>
      <c r="D44" s="13" t="str">
        <f>Factions!$C$8</f>
        <v>Crystals</v>
      </c>
      <c r="E44" s="3" t="str">
        <f>IF(D44=C44,Factions!$D$8,D44)</f>
        <v>Flowers</v>
      </c>
      <c r="F44" s="3" t="str">
        <f t="shared" si="1"/>
        <v>SWAPPED</v>
      </c>
      <c r="G44" s="3" t="str">
        <f t="shared" si="2"/>
        <v>Minerals</v>
      </c>
      <c r="H44" s="3" t="str">
        <f t="shared" si="3"/>
        <v>ok</v>
      </c>
    </row>
    <row r="45" ht="15.75" customHeight="1">
      <c r="A45" s="13" t="str">
        <f>Maps!$B$9</f>
        <v>Map_05</v>
      </c>
      <c r="B45" s="13" t="str">
        <f>Factions!$B$9</f>
        <v>Faction_05</v>
      </c>
      <c r="C45" s="13" t="str">
        <f>Maps!$F$9</f>
        <v>Crystals</v>
      </c>
      <c r="D45" s="13" t="str">
        <f>Factions!$C$9</f>
        <v>Flowers</v>
      </c>
      <c r="E45" s="3" t="str">
        <f>IF(D45=C45,Factions!$D$9,D45)</f>
        <v>Flowers</v>
      </c>
      <c r="F45" s="3" t="str">
        <f t="shared" si="1"/>
        <v>-</v>
      </c>
      <c r="G45" s="3" t="str">
        <f t="shared" si="2"/>
        <v>Minerals</v>
      </c>
      <c r="H45" s="3" t="str">
        <f t="shared" si="3"/>
        <v>ok</v>
      </c>
    </row>
    <row r="46" ht="15.75" customHeight="1">
      <c r="A46" s="13" t="str">
        <f>Maps!$B$9</f>
        <v>Map_05</v>
      </c>
      <c r="B46" s="13" t="str">
        <f>Factions!$B$10</f>
        <v>Faction_06</v>
      </c>
      <c r="C46" s="13" t="str">
        <f>Maps!$F$9</f>
        <v>Crystals</v>
      </c>
      <c r="D46" s="13" t="str">
        <f>Factions!$C$10</f>
        <v>Minerals</v>
      </c>
      <c r="E46" s="3" t="str">
        <f>IF(D46=C46,Factions!$D$10,D46)</f>
        <v>Minerals</v>
      </c>
      <c r="F46" s="3" t="str">
        <f t="shared" si="1"/>
        <v>-</v>
      </c>
      <c r="G46" s="3" t="str">
        <f t="shared" si="2"/>
        <v>Flowers</v>
      </c>
      <c r="H46" s="3" t="str">
        <f t="shared" si="3"/>
        <v>ok</v>
      </c>
    </row>
    <row r="47" ht="15.75" customHeight="1">
      <c r="A47" s="13" t="str">
        <f>Maps!$B$9</f>
        <v>Map_05</v>
      </c>
      <c r="B47" s="13" t="str">
        <f>Factions!$B$11</f>
        <v>Faction_07</v>
      </c>
      <c r="C47" s="13" t="str">
        <f>Maps!$F$9</f>
        <v>Crystals</v>
      </c>
      <c r="D47" s="13" t="str">
        <f>Factions!$C$11</f>
        <v>Crystals</v>
      </c>
      <c r="E47" s="3" t="str">
        <f>IF(D47=C47,Factions!$D$11,D47)</f>
        <v>Minerals</v>
      </c>
      <c r="F47" s="3" t="str">
        <f t="shared" si="1"/>
        <v>SWAPPED</v>
      </c>
      <c r="G47" s="3" t="str">
        <f t="shared" si="2"/>
        <v>Flowers</v>
      </c>
      <c r="H47" s="3" t="str">
        <f t="shared" si="3"/>
        <v>ok</v>
      </c>
    </row>
    <row r="48" ht="15.75" customHeight="1">
      <c r="A48" s="13" t="str">
        <f>Maps!$B$9</f>
        <v>Map_05</v>
      </c>
      <c r="B48" s="13" t="str">
        <f>Factions!$B$12</f>
        <v>Faction_08</v>
      </c>
      <c r="C48" s="13" t="str">
        <f>Maps!$F$9</f>
        <v>Crystals</v>
      </c>
      <c r="D48" s="13" t="str">
        <f>Factions!$C$12</f>
        <v>Flowers</v>
      </c>
      <c r="E48" s="3" t="str">
        <f>IF(D48=C48,Factions!$D$12,D48)</f>
        <v>Flowers</v>
      </c>
      <c r="F48" s="3" t="str">
        <f t="shared" si="1"/>
        <v>-</v>
      </c>
      <c r="G48" s="3" t="str">
        <f t="shared" si="2"/>
        <v>Minerals</v>
      </c>
      <c r="H48" s="3" t="str">
        <f t="shared" si="3"/>
        <v>ok</v>
      </c>
    </row>
    <row r="49" ht="15.75" customHeight="1">
      <c r="A49" s="13" t="str">
        <f>Maps!$B$9</f>
        <v>Map_05</v>
      </c>
      <c r="B49" s="13" t="str">
        <f>Factions!$B$13</f>
        <v>Faction_09</v>
      </c>
      <c r="C49" s="13" t="str">
        <f>Maps!$F$9</f>
        <v>Crystals</v>
      </c>
      <c r="D49" s="13" t="str">
        <f>Factions!$C$13</f>
        <v>Minerals</v>
      </c>
      <c r="E49" s="3" t="str">
        <f>IF(D49=C49,Factions!$D$13,D49)</f>
        <v>Minerals</v>
      </c>
      <c r="F49" s="3" t="str">
        <f t="shared" si="1"/>
        <v>-</v>
      </c>
      <c r="G49" s="3" t="str">
        <f t="shared" si="2"/>
        <v>Flowers</v>
      </c>
      <c r="H49" s="3" t="str">
        <f t="shared" si="3"/>
        <v>ok</v>
      </c>
    </row>
    <row r="50" ht="15.75" customHeight="1">
      <c r="A50" s="21" t="str">
        <f>Maps!$B$10</f>
        <v>Map_06</v>
      </c>
      <c r="B50" s="21" t="str">
        <f>Factions!$B$5</f>
        <v>Faction_01</v>
      </c>
      <c r="C50" s="21" t="str">
        <f>Maps!$F$10</f>
        <v>Flowers</v>
      </c>
      <c r="D50" s="21" t="str">
        <f>Factions!$C$5</f>
        <v>Crystals</v>
      </c>
      <c r="E50" s="20" t="str">
        <f>IF(D50=C50,Factions!$D$5,D50)</f>
        <v>Crystals</v>
      </c>
      <c r="F50" s="20" t="str">
        <f t="shared" si="1"/>
        <v>-</v>
      </c>
      <c r="G50" s="20" t="str">
        <f t="shared" si="2"/>
        <v>Minerals</v>
      </c>
      <c r="H50" s="20" t="str">
        <f t="shared" si="3"/>
        <v>ok</v>
      </c>
    </row>
    <row r="51" ht="15.75" customHeight="1">
      <c r="A51" s="21" t="str">
        <f>Maps!$B$10</f>
        <v>Map_06</v>
      </c>
      <c r="B51" s="21" t="str">
        <f>Factions!$B$6</f>
        <v>Faction_02</v>
      </c>
      <c r="C51" s="21" t="str">
        <f>Maps!$F$10</f>
        <v>Flowers</v>
      </c>
      <c r="D51" s="21" t="str">
        <f>Factions!$C$6</f>
        <v>Flowers</v>
      </c>
      <c r="E51" s="20" t="str">
        <f>IF(D51=C51,Factions!$D$6,D51)</f>
        <v>Crystals</v>
      </c>
      <c r="F51" s="20" t="str">
        <f t="shared" si="1"/>
        <v>SWAPPED</v>
      </c>
      <c r="G51" s="20" t="str">
        <f t="shared" si="2"/>
        <v>Minerals</v>
      </c>
      <c r="H51" s="20" t="str">
        <f t="shared" si="3"/>
        <v>ok</v>
      </c>
    </row>
    <row r="52" ht="15.75" customHeight="1">
      <c r="A52" s="21" t="str">
        <f>Maps!$B$10</f>
        <v>Map_06</v>
      </c>
      <c r="B52" s="21" t="str">
        <f>Factions!$B$7</f>
        <v>Faction_03</v>
      </c>
      <c r="C52" s="21" t="str">
        <f>Maps!$F$10</f>
        <v>Flowers</v>
      </c>
      <c r="D52" s="21" t="str">
        <f>Factions!$C$7</f>
        <v>Minerals</v>
      </c>
      <c r="E52" s="20" t="str">
        <f>IF(D52=C52,Factions!$D$7,D52)</f>
        <v>Minerals</v>
      </c>
      <c r="F52" s="20" t="str">
        <f t="shared" si="1"/>
        <v>-</v>
      </c>
      <c r="G52" s="20" t="str">
        <f t="shared" si="2"/>
        <v>Crystals</v>
      </c>
      <c r="H52" s="20" t="str">
        <f t="shared" si="3"/>
        <v>ok</v>
      </c>
    </row>
    <row r="53" ht="15.75" customHeight="1">
      <c r="A53" s="21" t="str">
        <f>Maps!$B$10</f>
        <v>Map_06</v>
      </c>
      <c r="B53" s="21" t="str">
        <f>Factions!$B$8</f>
        <v>Faction_04</v>
      </c>
      <c r="C53" s="21" t="str">
        <f>Maps!$F$10</f>
        <v>Flowers</v>
      </c>
      <c r="D53" s="21" t="str">
        <f>Factions!$C$8</f>
        <v>Crystals</v>
      </c>
      <c r="E53" s="20" t="str">
        <f>IF(D53=C53,Factions!$D$8,D53)</f>
        <v>Crystals</v>
      </c>
      <c r="F53" s="20" t="str">
        <f t="shared" si="1"/>
        <v>-</v>
      </c>
      <c r="G53" s="20" t="str">
        <f t="shared" si="2"/>
        <v>Minerals</v>
      </c>
      <c r="H53" s="20" t="str">
        <f t="shared" si="3"/>
        <v>ok</v>
      </c>
    </row>
    <row r="54" ht="15.75" customHeight="1">
      <c r="A54" s="21" t="str">
        <f>Maps!$B$10</f>
        <v>Map_06</v>
      </c>
      <c r="B54" s="21" t="str">
        <f>Factions!$B$9</f>
        <v>Faction_05</v>
      </c>
      <c r="C54" s="21" t="str">
        <f>Maps!$F$10</f>
        <v>Flowers</v>
      </c>
      <c r="D54" s="21" t="str">
        <f>Factions!$C$9</f>
        <v>Flowers</v>
      </c>
      <c r="E54" s="20" t="str">
        <f>IF(D54=C54,Factions!$D$9,D54)</f>
        <v>Minerals</v>
      </c>
      <c r="F54" s="20" t="str">
        <f t="shared" si="1"/>
        <v>SWAPPED</v>
      </c>
      <c r="G54" s="20" t="str">
        <f t="shared" si="2"/>
        <v>Crystals</v>
      </c>
      <c r="H54" s="20" t="str">
        <f t="shared" si="3"/>
        <v>ok</v>
      </c>
    </row>
    <row r="55" ht="15.75" customHeight="1">
      <c r="A55" s="21" t="str">
        <f>Maps!$B$10</f>
        <v>Map_06</v>
      </c>
      <c r="B55" s="21" t="str">
        <f>Factions!$B$10</f>
        <v>Faction_06</v>
      </c>
      <c r="C55" s="21" t="str">
        <f>Maps!$F$10</f>
        <v>Flowers</v>
      </c>
      <c r="D55" s="21" t="str">
        <f>Factions!$C$10</f>
        <v>Minerals</v>
      </c>
      <c r="E55" s="20" t="str">
        <f>IF(D55=C55,Factions!$D$10,D55)</f>
        <v>Minerals</v>
      </c>
      <c r="F55" s="20" t="str">
        <f t="shared" si="1"/>
        <v>-</v>
      </c>
      <c r="G55" s="20" t="str">
        <f t="shared" si="2"/>
        <v>Crystals</v>
      </c>
      <c r="H55" s="20" t="str">
        <f t="shared" si="3"/>
        <v>ok</v>
      </c>
    </row>
    <row r="56" ht="15.75" customHeight="1">
      <c r="A56" s="21" t="str">
        <f>Maps!$B$10</f>
        <v>Map_06</v>
      </c>
      <c r="B56" s="21" t="str">
        <f>Factions!$B$11</f>
        <v>Faction_07</v>
      </c>
      <c r="C56" s="21" t="str">
        <f>Maps!$F$10</f>
        <v>Flowers</v>
      </c>
      <c r="D56" s="21" t="str">
        <f>Factions!$C$11</f>
        <v>Crystals</v>
      </c>
      <c r="E56" s="20" t="str">
        <f>IF(D56=C56,Factions!$D$11,D56)</f>
        <v>Crystals</v>
      </c>
      <c r="F56" s="20" t="str">
        <f t="shared" si="1"/>
        <v>-</v>
      </c>
      <c r="G56" s="20" t="str">
        <f t="shared" si="2"/>
        <v>Minerals</v>
      </c>
      <c r="H56" s="20" t="str">
        <f t="shared" si="3"/>
        <v>ok</v>
      </c>
    </row>
    <row r="57" ht="15.75" customHeight="1">
      <c r="A57" s="21" t="str">
        <f>Maps!$B$10</f>
        <v>Map_06</v>
      </c>
      <c r="B57" s="21" t="str">
        <f>Factions!$B$12</f>
        <v>Faction_08</v>
      </c>
      <c r="C57" s="21" t="str">
        <f>Maps!$F$10</f>
        <v>Flowers</v>
      </c>
      <c r="D57" s="21" t="str">
        <f>Factions!$C$12</f>
        <v>Flowers</v>
      </c>
      <c r="E57" s="20" t="str">
        <f>IF(D57=C57,Factions!$D$12,D57)</f>
        <v>Crystals</v>
      </c>
      <c r="F57" s="20" t="str">
        <f t="shared" si="1"/>
        <v>SWAPPED</v>
      </c>
      <c r="G57" s="20" t="str">
        <f t="shared" si="2"/>
        <v>Minerals</v>
      </c>
      <c r="H57" s="20" t="str">
        <f t="shared" si="3"/>
        <v>ok</v>
      </c>
    </row>
    <row r="58" ht="15.75" customHeight="1">
      <c r="A58" s="21" t="str">
        <f>Maps!$B$10</f>
        <v>Map_06</v>
      </c>
      <c r="B58" s="21" t="str">
        <f>Factions!$B$13</f>
        <v>Faction_09</v>
      </c>
      <c r="C58" s="21" t="str">
        <f>Maps!$F$10</f>
        <v>Flowers</v>
      </c>
      <c r="D58" s="21" t="str">
        <f>Factions!$C$13</f>
        <v>Minerals</v>
      </c>
      <c r="E58" s="20" t="str">
        <f>IF(D58=C58,Factions!$D$13,D58)</f>
        <v>Minerals</v>
      </c>
      <c r="F58" s="20" t="str">
        <f t="shared" si="1"/>
        <v>-</v>
      </c>
      <c r="G58" s="20" t="str">
        <f t="shared" si="2"/>
        <v>Crystals</v>
      </c>
      <c r="H58" s="20" t="str">
        <f t="shared" si="3"/>
        <v>ok</v>
      </c>
    </row>
    <row r="59" ht="15.75" customHeight="1">
      <c r="A59" s="13" t="str">
        <f>Maps!$B$11</f>
        <v>Map_07</v>
      </c>
      <c r="B59" s="13" t="str">
        <f>Factions!$B$5</f>
        <v>Faction_01</v>
      </c>
      <c r="C59" s="13" t="str">
        <f>Maps!$F$11</f>
        <v>Minerals</v>
      </c>
      <c r="D59" s="13" t="str">
        <f>Factions!$C$5</f>
        <v>Crystals</v>
      </c>
      <c r="E59" s="3" t="str">
        <f>IF(D59=C59,Factions!$D$5,D59)</f>
        <v>Crystals</v>
      </c>
      <c r="F59" s="3" t="str">
        <f t="shared" si="1"/>
        <v>-</v>
      </c>
      <c r="G59" s="3" t="str">
        <f t="shared" si="2"/>
        <v>Flowers</v>
      </c>
      <c r="H59" s="3" t="str">
        <f t="shared" si="3"/>
        <v>ok</v>
      </c>
    </row>
    <row r="60" ht="15.75" customHeight="1">
      <c r="A60" s="13" t="str">
        <f>Maps!$B$11</f>
        <v>Map_07</v>
      </c>
      <c r="B60" s="13" t="str">
        <f>Factions!$B$6</f>
        <v>Faction_02</v>
      </c>
      <c r="C60" s="13" t="str">
        <f>Maps!$F$11</f>
        <v>Minerals</v>
      </c>
      <c r="D60" s="13" t="str">
        <f>Factions!$C$6</f>
        <v>Flowers</v>
      </c>
      <c r="E60" s="3" t="str">
        <f>IF(D60=C60,Factions!$D$6,D60)</f>
        <v>Flowers</v>
      </c>
      <c r="F60" s="3" t="str">
        <f t="shared" si="1"/>
        <v>-</v>
      </c>
      <c r="G60" s="3" t="str">
        <f t="shared" si="2"/>
        <v>Crystals</v>
      </c>
      <c r="H60" s="3" t="str">
        <f t="shared" si="3"/>
        <v>ok</v>
      </c>
    </row>
    <row r="61" ht="15.75" customHeight="1">
      <c r="A61" s="13" t="str">
        <f>Maps!$B$11</f>
        <v>Map_07</v>
      </c>
      <c r="B61" s="13" t="str">
        <f>Factions!$B$7</f>
        <v>Faction_03</v>
      </c>
      <c r="C61" s="13" t="str">
        <f>Maps!$F$11</f>
        <v>Minerals</v>
      </c>
      <c r="D61" s="13" t="str">
        <f>Factions!$C$7</f>
        <v>Minerals</v>
      </c>
      <c r="E61" s="3" t="str">
        <f>IF(D61=C61,Factions!$D$7,D61)</f>
        <v>Flowers</v>
      </c>
      <c r="F61" s="3" t="str">
        <f t="shared" si="1"/>
        <v>SWAPPED</v>
      </c>
      <c r="G61" s="3" t="str">
        <f t="shared" si="2"/>
        <v>Crystals</v>
      </c>
      <c r="H61" s="3" t="str">
        <f t="shared" si="3"/>
        <v>ok</v>
      </c>
    </row>
    <row r="62" ht="15.75" customHeight="1">
      <c r="A62" s="13" t="str">
        <f>Maps!$B$11</f>
        <v>Map_07</v>
      </c>
      <c r="B62" s="13" t="str">
        <f>Factions!$B$8</f>
        <v>Faction_04</v>
      </c>
      <c r="C62" s="13" t="str">
        <f>Maps!$F$11</f>
        <v>Minerals</v>
      </c>
      <c r="D62" s="13" t="str">
        <f>Factions!$C$8</f>
        <v>Crystals</v>
      </c>
      <c r="E62" s="3" t="str">
        <f>IF(D62=C62,Factions!$D$8,D62)</f>
        <v>Crystals</v>
      </c>
      <c r="F62" s="3" t="str">
        <f t="shared" si="1"/>
        <v>-</v>
      </c>
      <c r="G62" s="3" t="str">
        <f t="shared" si="2"/>
        <v>Flowers</v>
      </c>
      <c r="H62" s="3" t="str">
        <f t="shared" si="3"/>
        <v>ok</v>
      </c>
    </row>
    <row r="63" ht="15.75" customHeight="1">
      <c r="A63" s="13" t="str">
        <f>Maps!$B$11</f>
        <v>Map_07</v>
      </c>
      <c r="B63" s="13" t="str">
        <f>Factions!$B$9</f>
        <v>Faction_05</v>
      </c>
      <c r="C63" s="13" t="str">
        <f>Maps!$F$11</f>
        <v>Minerals</v>
      </c>
      <c r="D63" s="13" t="str">
        <f>Factions!$C$9</f>
        <v>Flowers</v>
      </c>
      <c r="E63" s="3" t="str">
        <f>IF(D63=C63,Factions!$D$9,D63)</f>
        <v>Flowers</v>
      </c>
      <c r="F63" s="3" t="str">
        <f t="shared" si="1"/>
        <v>-</v>
      </c>
      <c r="G63" s="3" t="str">
        <f t="shared" si="2"/>
        <v>Crystals</v>
      </c>
      <c r="H63" s="3" t="str">
        <f t="shared" si="3"/>
        <v>ok</v>
      </c>
    </row>
    <row r="64" ht="15.75" customHeight="1">
      <c r="A64" s="13" t="str">
        <f>Maps!$B$11</f>
        <v>Map_07</v>
      </c>
      <c r="B64" s="13" t="str">
        <f>Factions!$B$10</f>
        <v>Faction_06</v>
      </c>
      <c r="C64" s="13" t="str">
        <f>Maps!$F$11</f>
        <v>Minerals</v>
      </c>
      <c r="D64" s="13" t="str">
        <f>Factions!$C$10</f>
        <v>Minerals</v>
      </c>
      <c r="E64" s="3" t="str">
        <f>IF(D64=C64,Factions!$D$10,D64)</f>
        <v>Crystals</v>
      </c>
      <c r="F64" s="3" t="str">
        <f t="shared" si="1"/>
        <v>SWAPPED</v>
      </c>
      <c r="G64" s="3" t="str">
        <f t="shared" si="2"/>
        <v>Flowers</v>
      </c>
      <c r="H64" s="3" t="str">
        <f t="shared" si="3"/>
        <v>ok</v>
      </c>
    </row>
    <row r="65" ht="15.75" customHeight="1">
      <c r="A65" s="13" t="str">
        <f>Maps!$B$11</f>
        <v>Map_07</v>
      </c>
      <c r="B65" s="13" t="str">
        <f>Factions!$B$11</f>
        <v>Faction_07</v>
      </c>
      <c r="C65" s="13" t="str">
        <f>Maps!$F$11</f>
        <v>Minerals</v>
      </c>
      <c r="D65" s="13" t="str">
        <f>Factions!$C$11</f>
        <v>Crystals</v>
      </c>
      <c r="E65" s="3" t="str">
        <f>IF(D65=C65,Factions!$D$11,D65)</f>
        <v>Crystals</v>
      </c>
      <c r="F65" s="3" t="str">
        <f t="shared" si="1"/>
        <v>-</v>
      </c>
      <c r="G65" s="3" t="str">
        <f t="shared" si="2"/>
        <v>Flowers</v>
      </c>
      <c r="H65" s="3" t="str">
        <f t="shared" si="3"/>
        <v>ok</v>
      </c>
    </row>
    <row r="66" ht="15.75" customHeight="1">
      <c r="A66" s="13" t="str">
        <f>Maps!$B$11</f>
        <v>Map_07</v>
      </c>
      <c r="B66" s="13" t="str">
        <f>Factions!$B$12</f>
        <v>Faction_08</v>
      </c>
      <c r="C66" s="13" t="str">
        <f>Maps!$F$11</f>
        <v>Minerals</v>
      </c>
      <c r="D66" s="13" t="str">
        <f>Factions!$C$12</f>
        <v>Flowers</v>
      </c>
      <c r="E66" s="3" t="str">
        <f>IF(D66=C66,Factions!$D$12,D66)</f>
        <v>Flowers</v>
      </c>
      <c r="F66" s="3" t="str">
        <f t="shared" si="1"/>
        <v>-</v>
      </c>
      <c r="G66" s="3" t="str">
        <f t="shared" si="2"/>
        <v>Crystals</v>
      </c>
      <c r="H66" s="3" t="str">
        <f t="shared" si="3"/>
        <v>ok</v>
      </c>
    </row>
    <row r="67" ht="15.75" customHeight="1">
      <c r="A67" s="13" t="str">
        <f>Maps!$B$11</f>
        <v>Map_07</v>
      </c>
      <c r="B67" s="13" t="str">
        <f>Factions!$B$13</f>
        <v>Faction_09</v>
      </c>
      <c r="C67" s="13" t="str">
        <f>Maps!$F$11</f>
        <v>Minerals</v>
      </c>
      <c r="D67" s="13" t="str">
        <f>Factions!$C$13</f>
        <v>Minerals</v>
      </c>
      <c r="E67" s="3" t="str">
        <f>IF(D67=C67,Factions!$D$13,D67)</f>
        <v>Flowers</v>
      </c>
      <c r="F67" s="3" t="str">
        <f t="shared" si="1"/>
        <v>SWAPPED</v>
      </c>
      <c r="G67" s="3" t="str">
        <f t="shared" si="2"/>
        <v>Crystals</v>
      </c>
      <c r="H67" s="3" t="str">
        <f t="shared" si="3"/>
        <v>ok</v>
      </c>
    </row>
    <row r="68" ht="15.75" customHeight="1">
      <c r="A68" s="21" t="str">
        <f>Maps!$B$12</f>
        <v>Map_08</v>
      </c>
      <c r="B68" s="21" t="str">
        <f>Factions!$B$5</f>
        <v>Faction_01</v>
      </c>
      <c r="C68" s="21" t="str">
        <f>Maps!$F$12</f>
        <v>Crystals</v>
      </c>
      <c r="D68" s="21" t="str">
        <f>Factions!$C$5</f>
        <v>Crystals</v>
      </c>
      <c r="E68" s="20" t="str">
        <f>IF(D68=C68,Factions!$D$5,D68)</f>
        <v>Minerals</v>
      </c>
      <c r="F68" s="20" t="str">
        <f t="shared" si="1"/>
        <v>SWAPPED</v>
      </c>
      <c r="G68" s="20" t="str">
        <f t="shared" si="2"/>
        <v>Flowers</v>
      </c>
      <c r="H68" s="20" t="str">
        <f t="shared" si="3"/>
        <v>ok</v>
      </c>
    </row>
    <row r="69" ht="15.75" customHeight="1">
      <c r="A69" s="21" t="str">
        <f>Maps!$B$12</f>
        <v>Map_08</v>
      </c>
      <c r="B69" s="21" t="str">
        <f>Factions!$B$6</f>
        <v>Faction_02</v>
      </c>
      <c r="C69" s="21" t="str">
        <f>Maps!$F$12</f>
        <v>Crystals</v>
      </c>
      <c r="D69" s="21" t="str">
        <f>Factions!$C$6</f>
        <v>Flowers</v>
      </c>
      <c r="E69" s="20" t="str">
        <f>IF(D69=C69,Factions!$D$6,D69)</f>
        <v>Flowers</v>
      </c>
      <c r="F69" s="20" t="str">
        <f t="shared" si="1"/>
        <v>-</v>
      </c>
      <c r="G69" s="20" t="str">
        <f t="shared" si="2"/>
        <v>Minerals</v>
      </c>
      <c r="H69" s="20" t="str">
        <f t="shared" si="3"/>
        <v>ok</v>
      </c>
    </row>
    <row r="70" ht="15.75" customHeight="1">
      <c r="A70" s="21" t="str">
        <f>Maps!$B$12</f>
        <v>Map_08</v>
      </c>
      <c r="B70" s="21" t="str">
        <f>Factions!$B$7</f>
        <v>Faction_03</v>
      </c>
      <c r="C70" s="21" t="str">
        <f>Maps!$F$12</f>
        <v>Crystals</v>
      </c>
      <c r="D70" s="21" t="str">
        <f>Factions!$C$7</f>
        <v>Minerals</v>
      </c>
      <c r="E70" s="20" t="str">
        <f>IF(D70=C70,Factions!$D$7,D70)</f>
        <v>Minerals</v>
      </c>
      <c r="F70" s="20" t="str">
        <f t="shared" si="1"/>
        <v>-</v>
      </c>
      <c r="G70" s="20" t="str">
        <f t="shared" si="2"/>
        <v>Flowers</v>
      </c>
      <c r="H70" s="20" t="str">
        <f t="shared" si="3"/>
        <v>ok</v>
      </c>
    </row>
    <row r="71" ht="15.75" customHeight="1">
      <c r="A71" s="21" t="str">
        <f>Maps!$B$12</f>
        <v>Map_08</v>
      </c>
      <c r="B71" s="21" t="str">
        <f>Factions!$B$8</f>
        <v>Faction_04</v>
      </c>
      <c r="C71" s="21" t="str">
        <f>Maps!$F$12</f>
        <v>Crystals</v>
      </c>
      <c r="D71" s="21" t="str">
        <f>Factions!$C$8</f>
        <v>Crystals</v>
      </c>
      <c r="E71" s="20" t="str">
        <f>IF(D71=C71,Factions!$D$8,D71)</f>
        <v>Flowers</v>
      </c>
      <c r="F71" s="20" t="str">
        <f t="shared" si="1"/>
        <v>SWAPPED</v>
      </c>
      <c r="G71" s="20" t="str">
        <f t="shared" si="2"/>
        <v>Minerals</v>
      </c>
      <c r="H71" s="20" t="str">
        <f t="shared" si="3"/>
        <v>ok</v>
      </c>
    </row>
    <row r="72" ht="15.75" customHeight="1">
      <c r="A72" s="21" t="str">
        <f>Maps!$B$12</f>
        <v>Map_08</v>
      </c>
      <c r="B72" s="21" t="str">
        <f>Factions!$B$9</f>
        <v>Faction_05</v>
      </c>
      <c r="C72" s="21" t="str">
        <f>Maps!$F$12</f>
        <v>Crystals</v>
      </c>
      <c r="D72" s="21" t="str">
        <f>Factions!$C$9</f>
        <v>Flowers</v>
      </c>
      <c r="E72" s="20" t="str">
        <f>IF(D72=C72,Factions!$D$9,D72)</f>
        <v>Flowers</v>
      </c>
      <c r="F72" s="20" t="str">
        <f t="shared" si="1"/>
        <v>-</v>
      </c>
      <c r="G72" s="20" t="str">
        <f t="shared" si="2"/>
        <v>Minerals</v>
      </c>
      <c r="H72" s="20" t="str">
        <f t="shared" si="3"/>
        <v>ok</v>
      </c>
    </row>
    <row r="73" ht="15.75" customHeight="1">
      <c r="A73" s="21" t="str">
        <f>Maps!$B$12</f>
        <v>Map_08</v>
      </c>
      <c r="B73" s="21" t="str">
        <f>Factions!$B$10</f>
        <v>Faction_06</v>
      </c>
      <c r="C73" s="21" t="str">
        <f>Maps!$F$12</f>
        <v>Crystals</v>
      </c>
      <c r="D73" s="21" t="str">
        <f>Factions!$C$10</f>
        <v>Minerals</v>
      </c>
      <c r="E73" s="20" t="str">
        <f>IF(D73=C73,Factions!$D$10,D73)</f>
        <v>Minerals</v>
      </c>
      <c r="F73" s="20" t="str">
        <f t="shared" si="1"/>
        <v>-</v>
      </c>
      <c r="G73" s="20" t="str">
        <f t="shared" si="2"/>
        <v>Flowers</v>
      </c>
      <c r="H73" s="20" t="str">
        <f t="shared" si="3"/>
        <v>ok</v>
      </c>
    </row>
    <row r="74" ht="15.75" customHeight="1">
      <c r="A74" s="21" t="str">
        <f>Maps!$B$12</f>
        <v>Map_08</v>
      </c>
      <c r="B74" s="21" t="str">
        <f>Factions!$B$11</f>
        <v>Faction_07</v>
      </c>
      <c r="C74" s="21" t="str">
        <f>Maps!$F$12</f>
        <v>Crystals</v>
      </c>
      <c r="D74" s="21" t="str">
        <f>Factions!$C$11</f>
        <v>Crystals</v>
      </c>
      <c r="E74" s="20" t="str">
        <f>IF(D74=C74,Factions!$D$11,D74)</f>
        <v>Minerals</v>
      </c>
      <c r="F74" s="20" t="str">
        <f t="shared" si="1"/>
        <v>SWAPPED</v>
      </c>
      <c r="G74" s="20" t="str">
        <f t="shared" si="2"/>
        <v>Flowers</v>
      </c>
      <c r="H74" s="20" t="str">
        <f t="shared" si="3"/>
        <v>ok</v>
      </c>
    </row>
    <row r="75" ht="15.75" customHeight="1">
      <c r="A75" s="21" t="str">
        <f>Maps!$B$12</f>
        <v>Map_08</v>
      </c>
      <c r="B75" s="21" t="str">
        <f>Factions!$B$12</f>
        <v>Faction_08</v>
      </c>
      <c r="C75" s="21" t="str">
        <f>Maps!$F$12</f>
        <v>Crystals</v>
      </c>
      <c r="D75" s="21" t="str">
        <f>Factions!$C$12</f>
        <v>Flowers</v>
      </c>
      <c r="E75" s="20" t="str">
        <f>IF(D75=C75,Factions!$D$12,D75)</f>
        <v>Flowers</v>
      </c>
      <c r="F75" s="20" t="str">
        <f t="shared" si="1"/>
        <v>-</v>
      </c>
      <c r="G75" s="20" t="str">
        <f t="shared" si="2"/>
        <v>Minerals</v>
      </c>
      <c r="H75" s="20" t="str">
        <f t="shared" si="3"/>
        <v>ok</v>
      </c>
    </row>
    <row r="76" ht="15.75" customHeight="1">
      <c r="A76" s="21" t="str">
        <f>Maps!$B$12</f>
        <v>Map_08</v>
      </c>
      <c r="B76" s="21" t="str">
        <f>Factions!$B$13</f>
        <v>Faction_09</v>
      </c>
      <c r="C76" s="21" t="str">
        <f>Maps!$F$12</f>
        <v>Crystals</v>
      </c>
      <c r="D76" s="21" t="str">
        <f>Factions!$C$13</f>
        <v>Minerals</v>
      </c>
      <c r="E76" s="20" t="str">
        <f>IF(D76=C76,Factions!$D$13,D76)</f>
        <v>Minerals</v>
      </c>
      <c r="F76" s="20" t="str">
        <f t="shared" si="1"/>
        <v>-</v>
      </c>
      <c r="G76" s="20" t="str">
        <f t="shared" si="2"/>
        <v>Flowers</v>
      </c>
      <c r="H76" s="20" t="str">
        <f t="shared" si="3"/>
        <v>ok</v>
      </c>
    </row>
    <row r="77" ht="15.75" customHeight="1">
      <c r="A77" s="13" t="str">
        <f>Maps!$B$13</f>
        <v>Map_09</v>
      </c>
      <c r="B77" s="13" t="str">
        <f>Factions!$B$5</f>
        <v>Faction_01</v>
      </c>
      <c r="C77" s="13" t="str">
        <f>Maps!$F$13</f>
        <v>Crystals</v>
      </c>
      <c r="D77" s="13" t="str">
        <f>Factions!$C$5</f>
        <v>Crystals</v>
      </c>
      <c r="E77" s="3" t="str">
        <f>IF(D77=C77,Factions!$D$5,D77)</f>
        <v>Minerals</v>
      </c>
      <c r="F77" s="3" t="str">
        <f t="shared" si="1"/>
        <v>SWAPPED</v>
      </c>
      <c r="G77" s="3" t="str">
        <f t="shared" si="2"/>
        <v>Flowers</v>
      </c>
      <c r="H77" s="3" t="str">
        <f t="shared" si="3"/>
        <v>ok</v>
      </c>
    </row>
    <row r="78" ht="15.75" customHeight="1">
      <c r="A78" s="13" t="str">
        <f>Maps!$B$13</f>
        <v>Map_09</v>
      </c>
      <c r="B78" s="13" t="str">
        <f>Factions!$B$6</f>
        <v>Faction_02</v>
      </c>
      <c r="C78" s="13" t="str">
        <f>Maps!$F$13</f>
        <v>Crystals</v>
      </c>
      <c r="D78" s="13" t="str">
        <f>Factions!$C$6</f>
        <v>Flowers</v>
      </c>
      <c r="E78" s="3" t="str">
        <f>IF(D78=C78,Factions!$D$6,D78)</f>
        <v>Flowers</v>
      </c>
      <c r="F78" s="3" t="str">
        <f t="shared" si="1"/>
        <v>-</v>
      </c>
      <c r="G78" s="3" t="str">
        <f t="shared" si="2"/>
        <v>Minerals</v>
      </c>
      <c r="H78" s="3" t="str">
        <f t="shared" si="3"/>
        <v>ok</v>
      </c>
    </row>
    <row r="79" ht="15.75" customHeight="1">
      <c r="A79" s="13" t="str">
        <f>Maps!$B$13</f>
        <v>Map_09</v>
      </c>
      <c r="B79" s="13" t="str">
        <f>Factions!$B$7</f>
        <v>Faction_03</v>
      </c>
      <c r="C79" s="13" t="str">
        <f>Maps!$F$13</f>
        <v>Crystals</v>
      </c>
      <c r="D79" s="13" t="str">
        <f>Factions!$C$7</f>
        <v>Minerals</v>
      </c>
      <c r="E79" s="3" t="str">
        <f>IF(D79=C79,Factions!$D$7,D79)</f>
        <v>Minerals</v>
      </c>
      <c r="F79" s="3" t="str">
        <f t="shared" si="1"/>
        <v>-</v>
      </c>
      <c r="G79" s="3" t="str">
        <f t="shared" si="2"/>
        <v>Flowers</v>
      </c>
      <c r="H79" s="3" t="str">
        <f t="shared" si="3"/>
        <v>ok</v>
      </c>
    </row>
    <row r="80" ht="15.75" customHeight="1">
      <c r="A80" s="13" t="str">
        <f>Maps!$B$13</f>
        <v>Map_09</v>
      </c>
      <c r="B80" s="13" t="str">
        <f>Factions!$B$8</f>
        <v>Faction_04</v>
      </c>
      <c r="C80" s="13" t="str">
        <f>Maps!$F$13</f>
        <v>Crystals</v>
      </c>
      <c r="D80" s="13" t="str">
        <f>Factions!$C$8</f>
        <v>Crystals</v>
      </c>
      <c r="E80" s="3" t="str">
        <f>IF(D80=C80,Factions!$D$8,D80)</f>
        <v>Flowers</v>
      </c>
      <c r="F80" s="3" t="str">
        <f t="shared" si="1"/>
        <v>SWAPPED</v>
      </c>
      <c r="G80" s="3" t="str">
        <f t="shared" si="2"/>
        <v>Minerals</v>
      </c>
      <c r="H80" s="3" t="str">
        <f t="shared" si="3"/>
        <v>ok</v>
      </c>
    </row>
    <row r="81" ht="15.75" customHeight="1">
      <c r="A81" s="13" t="str">
        <f>Maps!$B$13</f>
        <v>Map_09</v>
      </c>
      <c r="B81" s="13" t="str">
        <f>Factions!$B$9</f>
        <v>Faction_05</v>
      </c>
      <c r="C81" s="13" t="str">
        <f>Maps!$F$13</f>
        <v>Crystals</v>
      </c>
      <c r="D81" s="13" t="str">
        <f>Factions!$C$9</f>
        <v>Flowers</v>
      </c>
      <c r="E81" s="3" t="str">
        <f>IF(D81=C81,Factions!$D$9,D81)</f>
        <v>Flowers</v>
      </c>
      <c r="F81" s="3" t="str">
        <f t="shared" si="1"/>
        <v>-</v>
      </c>
      <c r="G81" s="3" t="str">
        <f t="shared" si="2"/>
        <v>Minerals</v>
      </c>
      <c r="H81" s="3" t="str">
        <f t="shared" si="3"/>
        <v>ok</v>
      </c>
    </row>
    <row r="82" ht="15.75" customHeight="1">
      <c r="A82" s="13" t="str">
        <f>Maps!$B$13</f>
        <v>Map_09</v>
      </c>
      <c r="B82" s="13" t="str">
        <f>Factions!$B$10</f>
        <v>Faction_06</v>
      </c>
      <c r="C82" s="13" t="str">
        <f>Maps!$F$13</f>
        <v>Crystals</v>
      </c>
      <c r="D82" s="13" t="str">
        <f>Factions!$C$10</f>
        <v>Minerals</v>
      </c>
      <c r="E82" s="3" t="str">
        <f>IF(D82=C82,Factions!$D$10,D82)</f>
        <v>Minerals</v>
      </c>
      <c r="F82" s="3" t="str">
        <f t="shared" si="1"/>
        <v>-</v>
      </c>
      <c r="G82" s="3" t="str">
        <f t="shared" si="2"/>
        <v>Flowers</v>
      </c>
      <c r="H82" s="3" t="str">
        <f t="shared" si="3"/>
        <v>ok</v>
      </c>
    </row>
    <row r="83" ht="15.75" customHeight="1">
      <c r="A83" s="13" t="str">
        <f>Maps!$B$13</f>
        <v>Map_09</v>
      </c>
      <c r="B83" s="13" t="str">
        <f>Factions!$B$11</f>
        <v>Faction_07</v>
      </c>
      <c r="C83" s="13" t="str">
        <f>Maps!$F$13</f>
        <v>Crystals</v>
      </c>
      <c r="D83" s="13" t="str">
        <f>Factions!$C$11</f>
        <v>Crystals</v>
      </c>
      <c r="E83" s="3" t="str">
        <f>IF(D83=C83,Factions!$D$11,D83)</f>
        <v>Minerals</v>
      </c>
      <c r="F83" s="3" t="str">
        <f t="shared" si="1"/>
        <v>SWAPPED</v>
      </c>
      <c r="G83" s="3" t="str">
        <f t="shared" si="2"/>
        <v>Flowers</v>
      </c>
      <c r="H83" s="3" t="str">
        <f t="shared" si="3"/>
        <v>ok</v>
      </c>
    </row>
    <row r="84" ht="15.75" customHeight="1">
      <c r="A84" s="13" t="str">
        <f>Maps!$B$13</f>
        <v>Map_09</v>
      </c>
      <c r="B84" s="13" t="str">
        <f>Factions!$B$12</f>
        <v>Faction_08</v>
      </c>
      <c r="C84" s="13" t="str">
        <f>Maps!$F$13</f>
        <v>Crystals</v>
      </c>
      <c r="D84" s="13" t="str">
        <f>Factions!$C$12</f>
        <v>Flowers</v>
      </c>
      <c r="E84" s="3" t="str">
        <f>IF(D84=C84,Factions!$D$12,D84)</f>
        <v>Flowers</v>
      </c>
      <c r="F84" s="3" t="str">
        <f t="shared" si="1"/>
        <v>-</v>
      </c>
      <c r="G84" s="3" t="str">
        <f t="shared" si="2"/>
        <v>Minerals</v>
      </c>
      <c r="H84" s="3" t="str">
        <f t="shared" si="3"/>
        <v>ok</v>
      </c>
    </row>
    <row r="85" ht="15.75" customHeight="1">
      <c r="A85" s="13" t="str">
        <f>Maps!$B$13</f>
        <v>Map_09</v>
      </c>
      <c r="B85" s="13" t="str">
        <f>Factions!$B$13</f>
        <v>Faction_09</v>
      </c>
      <c r="C85" s="13" t="str">
        <f>Maps!$F$13</f>
        <v>Crystals</v>
      </c>
      <c r="D85" s="13" t="str">
        <f>Factions!$C$13</f>
        <v>Minerals</v>
      </c>
      <c r="E85" s="3" t="str">
        <f>IF(D85=C85,Factions!$D$13,D85)</f>
        <v>Minerals</v>
      </c>
      <c r="F85" s="3" t="str">
        <f t="shared" si="1"/>
        <v>-</v>
      </c>
      <c r="G85" s="3" t="str">
        <f t="shared" si="2"/>
        <v>Flowers</v>
      </c>
      <c r="H85" s="3" t="str">
        <f t="shared" si="3"/>
        <v>ok</v>
      </c>
    </row>
    <row r="86" ht="15.75" customHeight="1"/>
    <row r="87" ht="15.75" customHeight="1">
      <c r="A87" s="2" t="s">
        <v>399</v>
      </c>
    </row>
    <row r="88" ht="15.75" customHeight="1">
      <c r="A88" s="2" t="s">
        <v>400</v>
      </c>
    </row>
    <row r="89" ht="15.75" customHeight="1">
      <c r="A89" s="2" t="s">
        <v>401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2.0"/>
    <col customWidth="1" min="4" max="4" width="16.0"/>
    <col customWidth="1" min="5" max="5" width="19.0"/>
    <col customWidth="1" min="6" max="6" width="21.0"/>
    <col customWidth="1" min="7" max="7" width="46.0"/>
    <col customWidth="1" min="8" max="26" width="8.71"/>
  </cols>
  <sheetData>
    <row r="1">
      <c r="A1" s="1" t="s">
        <v>402</v>
      </c>
    </row>
    <row r="2">
      <c r="A2" s="2" t="s">
        <v>403</v>
      </c>
    </row>
    <row r="4">
      <c r="A4" s="5" t="s">
        <v>393</v>
      </c>
      <c r="B4" s="5" t="s">
        <v>404</v>
      </c>
      <c r="C4" s="5" t="s">
        <v>405</v>
      </c>
      <c r="D4" s="5" t="s">
        <v>406</v>
      </c>
      <c r="E4" s="5" t="s">
        <v>407</v>
      </c>
      <c r="F4" s="5" t="s">
        <v>408</v>
      </c>
      <c r="G4" s="5" t="s">
        <v>43</v>
      </c>
    </row>
    <row r="5">
      <c r="A5" s="13" t="str">
        <f>Factions!$B$5</f>
        <v>Faction_01</v>
      </c>
      <c r="B5" s="13">
        <f>Factions!$E$5</f>
        <v>2</v>
      </c>
      <c r="C5" s="13">
        <f>Global_Params!$B$35</f>
        <v>100</v>
      </c>
      <c r="D5" s="13">
        <f>Global_Params!$B$36</f>
        <v>260</v>
      </c>
      <c r="E5" s="13">
        <f>Global_Params!$B$37</f>
        <v>520</v>
      </c>
      <c r="F5" s="3">
        <f t="shared" ref="F5:F13" si="1">E5</f>
        <v>520</v>
      </c>
      <c r="G5" s="2" t="s">
        <v>409</v>
      </c>
    </row>
    <row r="6">
      <c r="A6" s="13" t="str">
        <f>Factions!$B$6</f>
        <v>Faction_02</v>
      </c>
      <c r="B6" s="13">
        <f>Factions!$E$6</f>
        <v>1</v>
      </c>
      <c r="C6" s="13">
        <f>Global_Params!$B$35</f>
        <v>100</v>
      </c>
      <c r="D6" s="13">
        <f>Global_Params!$B$36</f>
        <v>260</v>
      </c>
      <c r="E6" s="13">
        <f>Global_Params!$B$37</f>
        <v>520</v>
      </c>
      <c r="F6" s="3">
        <f t="shared" si="1"/>
        <v>520</v>
      </c>
      <c r="G6" s="2" t="s">
        <v>409</v>
      </c>
    </row>
    <row r="7">
      <c r="A7" s="13" t="str">
        <f>Factions!$B$7</f>
        <v>Faction_03</v>
      </c>
      <c r="B7" s="13">
        <f>Factions!$E$7</f>
        <v>4</v>
      </c>
      <c r="C7" s="13">
        <f>Global_Params!$B$35</f>
        <v>100</v>
      </c>
      <c r="D7" s="13">
        <f>Global_Params!$B$36</f>
        <v>260</v>
      </c>
      <c r="E7" s="13">
        <f>Global_Params!$B$37</f>
        <v>520</v>
      </c>
      <c r="F7" s="3">
        <f t="shared" si="1"/>
        <v>520</v>
      </c>
      <c r="G7" s="2" t="s">
        <v>409</v>
      </c>
    </row>
    <row r="8">
      <c r="A8" s="13" t="str">
        <f>Factions!$B$8</f>
        <v>Faction_04</v>
      </c>
      <c r="B8" s="13">
        <f>Factions!$E$8</f>
        <v>3</v>
      </c>
      <c r="C8" s="13">
        <f>Global_Params!$B$35</f>
        <v>100</v>
      </c>
      <c r="D8" s="13">
        <f>Global_Params!$B$36</f>
        <v>260</v>
      </c>
      <c r="E8" s="13">
        <f>Global_Params!$B$37</f>
        <v>520</v>
      </c>
      <c r="F8" s="3">
        <f t="shared" si="1"/>
        <v>520</v>
      </c>
      <c r="G8" s="2" t="s">
        <v>409</v>
      </c>
    </row>
    <row r="9">
      <c r="A9" s="13" t="str">
        <f>Factions!$B$9</f>
        <v>Faction_05</v>
      </c>
      <c r="B9" s="13">
        <f>Factions!$E$9</f>
        <v>6</v>
      </c>
      <c r="C9" s="13">
        <f>Global_Params!$B$35</f>
        <v>100</v>
      </c>
      <c r="D9" s="13">
        <f>Global_Params!$B$36</f>
        <v>260</v>
      </c>
      <c r="E9" s="13">
        <f>Global_Params!$B$37</f>
        <v>520</v>
      </c>
      <c r="F9" s="3">
        <f t="shared" si="1"/>
        <v>520</v>
      </c>
      <c r="G9" s="2" t="s">
        <v>409</v>
      </c>
    </row>
    <row r="10">
      <c r="A10" s="13" t="str">
        <f>Factions!$B$10</f>
        <v>Faction_06</v>
      </c>
      <c r="B10" s="13">
        <f>Factions!$E$10</f>
        <v>5</v>
      </c>
      <c r="C10" s="13">
        <f>Global_Params!$B$35</f>
        <v>100</v>
      </c>
      <c r="D10" s="13">
        <f>Global_Params!$B$36</f>
        <v>260</v>
      </c>
      <c r="E10" s="13">
        <f>Global_Params!$B$37</f>
        <v>520</v>
      </c>
      <c r="F10" s="3">
        <f t="shared" si="1"/>
        <v>520</v>
      </c>
      <c r="G10" s="2" t="s">
        <v>409</v>
      </c>
    </row>
    <row r="11">
      <c r="A11" s="13" t="str">
        <f>Factions!$B$11</f>
        <v>Faction_07</v>
      </c>
      <c r="B11" s="13">
        <f>Factions!$E$11</f>
        <v>8</v>
      </c>
      <c r="C11" s="13">
        <f>Global_Params!$B$35</f>
        <v>100</v>
      </c>
      <c r="D11" s="13">
        <f>Global_Params!$B$36</f>
        <v>260</v>
      </c>
      <c r="E11" s="13">
        <f>Global_Params!$B$37</f>
        <v>520</v>
      </c>
      <c r="F11" s="3">
        <f t="shared" si="1"/>
        <v>520</v>
      </c>
      <c r="G11" s="2" t="s">
        <v>409</v>
      </c>
    </row>
    <row r="12">
      <c r="A12" s="13" t="str">
        <f>Factions!$B$12</f>
        <v>Faction_08</v>
      </c>
      <c r="B12" s="13">
        <f>Factions!$E$12</f>
        <v>7</v>
      </c>
      <c r="C12" s="13">
        <f>Global_Params!$B$35</f>
        <v>100</v>
      </c>
      <c r="D12" s="13">
        <f>Global_Params!$B$36</f>
        <v>260</v>
      </c>
      <c r="E12" s="13">
        <f>Global_Params!$B$37</f>
        <v>520</v>
      </c>
      <c r="F12" s="3">
        <f t="shared" si="1"/>
        <v>520</v>
      </c>
      <c r="G12" s="2" t="s">
        <v>409</v>
      </c>
    </row>
    <row r="13">
      <c r="A13" s="13" t="str">
        <f>Factions!$B$13</f>
        <v>Faction_09</v>
      </c>
      <c r="B13" s="13" t="str">
        <f>Factions!$E$13</f>
        <v>none</v>
      </c>
      <c r="C13" s="13">
        <f>Global_Params!$B$35</f>
        <v>100</v>
      </c>
      <c r="D13" s="13">
        <f>Global_Params!$B$36</f>
        <v>260</v>
      </c>
      <c r="E13" s="13">
        <f>Global_Params!$B$37</f>
        <v>520</v>
      </c>
      <c r="F13" s="3">
        <f t="shared" si="1"/>
        <v>520</v>
      </c>
      <c r="G13" s="2" t="s">
        <v>409</v>
      </c>
    </row>
    <row r="15">
      <c r="A15" s="4" t="s">
        <v>410</v>
      </c>
    </row>
    <row r="16">
      <c r="A16" s="3" t="s">
        <v>411</v>
      </c>
      <c r="B16" s="27">
        <f>SUM(Wave_Table!$Y$5:$Y$76)</f>
        <v>1270</v>
      </c>
      <c r="C16" s="2" t="s">
        <v>412</v>
      </c>
    </row>
    <row r="17">
      <c r="A17" s="3" t="s">
        <v>413</v>
      </c>
      <c r="B17" s="27">
        <f>9*Global_Params!$B$37</f>
        <v>4680</v>
      </c>
      <c r="C17" s="2" t="s">
        <v>414</v>
      </c>
    </row>
    <row r="18">
      <c r="A18" s="4" t="s">
        <v>415</v>
      </c>
      <c r="B18" s="31" t="str">
        <f>IF(B16&gt;=B17,"YES — TOO GENEROUS","NO — good")</f>
        <v>NO — good</v>
      </c>
      <c r="C18" s="2" t="s">
        <v>416</v>
      </c>
    </row>
    <row r="20">
      <c r="A20" s="2" t="s">
        <v>417</v>
      </c>
    </row>
    <row r="21" ht="15.75" customHeight="1">
      <c r="A21" s="2" t="s">
        <v>418</v>
      </c>
    </row>
    <row r="22" ht="15.75" customHeight="1">
      <c r="A22" s="2" t="s">
        <v>419</v>
      </c>
    </row>
    <row r="23" ht="15.75" customHeight="1">
      <c r="A23" s="2" t="s">
        <v>420</v>
      </c>
    </row>
    <row r="24" ht="15.75" customHeight="1">
      <c r="A24" s="2" t="s">
        <v>421</v>
      </c>
    </row>
    <row r="25" ht="15.75" customHeight="1">
      <c r="A25" s="2" t="s">
        <v>422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3" width="26.0"/>
    <col customWidth="1" min="4" max="4" width="14.0"/>
    <col customWidth="1" min="5" max="5" width="58.0"/>
    <col customWidth="1" min="6" max="26" width="8.71"/>
  </cols>
  <sheetData>
    <row r="1">
      <c r="A1" s="1" t="s">
        <v>423</v>
      </c>
    </row>
    <row r="2">
      <c r="A2" s="2" t="s">
        <v>424</v>
      </c>
    </row>
    <row r="4">
      <c r="A4" s="5" t="s">
        <v>425</v>
      </c>
      <c r="B4" s="5" t="s">
        <v>426</v>
      </c>
      <c r="C4" s="5" t="s">
        <v>427</v>
      </c>
      <c r="D4" s="5" t="s">
        <v>428</v>
      </c>
      <c r="E4" s="5" t="s">
        <v>429</v>
      </c>
    </row>
    <row r="5">
      <c r="A5" s="33" t="s">
        <v>430</v>
      </c>
      <c r="B5" s="34" t="s">
        <v>431</v>
      </c>
      <c r="C5" s="34" t="s">
        <v>432</v>
      </c>
      <c r="D5" s="34" t="s">
        <v>433</v>
      </c>
      <c r="E5" s="35" t="s">
        <v>434</v>
      </c>
    </row>
    <row r="6">
      <c r="A6" s="33" t="s">
        <v>435</v>
      </c>
      <c r="B6" s="34" t="s">
        <v>436</v>
      </c>
      <c r="C6" s="34" t="s">
        <v>437</v>
      </c>
      <c r="D6" s="34" t="s">
        <v>438</v>
      </c>
      <c r="E6" s="35" t="s">
        <v>439</v>
      </c>
    </row>
    <row r="7">
      <c r="A7" s="33" t="s">
        <v>440</v>
      </c>
      <c r="B7" s="34" t="s">
        <v>441</v>
      </c>
      <c r="C7" s="34" t="s">
        <v>442</v>
      </c>
      <c r="D7" s="34" t="s">
        <v>443</v>
      </c>
      <c r="E7" s="35" t="s">
        <v>444</v>
      </c>
    </row>
    <row r="9">
      <c r="A9" s="6" t="s">
        <v>445</v>
      </c>
      <c r="B9" s="7"/>
      <c r="C9" s="7"/>
      <c r="D9" s="7"/>
      <c r="E9" s="7"/>
    </row>
    <row r="10">
      <c r="A10" s="3" t="s">
        <v>145</v>
      </c>
      <c r="B10" s="8">
        <v>5.0</v>
      </c>
      <c r="E10" s="2" t="s">
        <v>446</v>
      </c>
    </row>
    <row r="11">
      <c r="A11" s="3" t="s">
        <v>447</v>
      </c>
      <c r="B11" s="8">
        <v>24.0</v>
      </c>
      <c r="E11" s="2" t="s">
        <v>448</v>
      </c>
    </row>
    <row r="12">
      <c r="A12" s="3" t="s">
        <v>449</v>
      </c>
      <c r="B12" s="8">
        <v>18.0</v>
      </c>
      <c r="E12" s="2" t="s">
        <v>450</v>
      </c>
    </row>
    <row r="13">
      <c r="A13" s="3" t="s">
        <v>451</v>
      </c>
      <c r="B13" s="8" t="s">
        <v>452</v>
      </c>
      <c r="E13" s="2" t="s">
        <v>453</v>
      </c>
    </row>
    <row r="14">
      <c r="A14" s="3" t="s">
        <v>454</v>
      </c>
      <c r="B14" s="36">
        <f t="array" ref="B14">INDEX(Maps!$J$5:$J$13,MATCH($B$10,Maps!$A$5:$A$13,0))</f>
        <v>9</v>
      </c>
      <c r="E14" s="2" t="s">
        <v>455</v>
      </c>
    </row>
    <row r="15">
      <c r="A15" s="3" t="s">
        <v>186</v>
      </c>
      <c r="B15" s="36" t="str">
        <f t="array" ref="B15">INDEX(Factions!$E$5:$E$13,MATCH(B14,Factions!$A$5:$A$13,0))</f>
        <v>none</v>
      </c>
      <c r="E15" s="2" t="s">
        <v>456</v>
      </c>
    </row>
    <row r="16">
      <c r="A16" s="3" t="s">
        <v>457</v>
      </c>
      <c r="B16" s="37">
        <f>IF($B$11=0,0,$B$12/$B$11)</f>
        <v>0.75</v>
      </c>
      <c r="E16" s="2" t="s">
        <v>458</v>
      </c>
    </row>
    <row r="17">
      <c r="A17" s="3" t="s">
        <v>459</v>
      </c>
      <c r="B17" s="36" t="str">
        <f>IF($B$13="NO","DECLINED",IF(B16&gt;=Global_Params!$B$41,"FULFILLED","BROKEN"))</f>
        <v>FULFILLED</v>
      </c>
      <c r="E17" s="2" t="s">
        <v>460</v>
      </c>
    </row>
    <row r="19">
      <c r="A19" s="6" t="s">
        <v>461</v>
      </c>
      <c r="B19" s="7"/>
      <c r="C19" s="7"/>
      <c r="D19" s="7"/>
      <c r="E19" s="7"/>
    </row>
    <row r="20">
      <c r="A20" s="4" t="s">
        <v>462</v>
      </c>
      <c r="B20" s="38">
        <f>IF($B$17="DECLINED",-Global_Params!$B$39,IF($B$17="FULFILLED",$B$12*Global_Params!$B$33,$B$12*Global_Params!$B$33-Global_Params!$B$42))</f>
        <v>180</v>
      </c>
      <c r="E20" s="2" t="s">
        <v>463</v>
      </c>
    </row>
    <row r="21" ht="15.75" customHeight="1">
      <c r="A21" s="4" t="s">
        <v>464</v>
      </c>
      <c r="B21" s="38">
        <f>IF(B15="none",0,IF($B$17="DECLINED",ROUND(Global_Params!$B$39*Global_Params!$B$40,0),-ROUND(MAX(0,$B$20)*Global_Params!$B$34,0)))</f>
        <v>0</v>
      </c>
      <c r="E21" s="2" t="s">
        <v>465</v>
      </c>
    </row>
    <row r="22" ht="15.75" customHeight="1"/>
    <row r="23" ht="15.75" customHeight="1">
      <c r="A23" s="2" t="s">
        <v>466</v>
      </c>
    </row>
    <row r="24" ht="15.75" customHeight="1">
      <c r="A24" s="2" t="s">
        <v>467</v>
      </c>
    </row>
    <row r="25" ht="15.75" customHeight="1">
      <c r="A25" s="2" t="s">
        <v>468</v>
      </c>
    </row>
    <row r="26" ht="15.75" customHeight="1">
      <c r="A26" s="2"/>
    </row>
    <row r="27" ht="15.75" customHeight="1">
      <c r="A27" s="2" t="s">
        <v>469</v>
      </c>
    </row>
    <row r="28" ht="15.75" customHeight="1">
      <c r="A28" s="2" t="s">
        <v>470</v>
      </c>
    </row>
    <row r="29" ht="15.75" customHeight="1">
      <c r="A29" s="2"/>
    </row>
    <row r="30" ht="15.75" customHeight="1">
      <c r="A30" s="2" t="s">
        <v>471</v>
      </c>
    </row>
    <row r="31" ht="15.75" customHeight="1">
      <c r="A31" s="2" t="s">
        <v>472</v>
      </c>
    </row>
    <row r="32" ht="15.75" customHeight="1">
      <c r="A32" s="2" t="s">
        <v>473</v>
      </c>
    </row>
    <row r="33" ht="15.75" customHeight="1">
      <c r="A33" s="2" t="s">
        <v>474</v>
      </c>
    </row>
    <row r="34" ht="15.75" customHeight="1">
      <c r="A34" s="2"/>
    </row>
    <row r="35" ht="15.75" customHeight="1">
      <c r="A35" s="2" t="s">
        <v>475</v>
      </c>
    </row>
    <row r="36" ht="15.75" customHeight="1">
      <c r="A36" s="2" t="s">
        <v>476</v>
      </c>
    </row>
    <row r="37" ht="15.75" customHeight="1">
      <c r="A37" s="2" t="s">
        <v>477</v>
      </c>
    </row>
    <row r="38" ht="15.75" customHeight="1">
      <c r="A38" s="2"/>
    </row>
    <row r="39" ht="15.75" customHeight="1">
      <c r="A39" s="2" t="s">
        <v>478</v>
      </c>
    </row>
    <row r="40" ht="15.75" customHeight="1">
      <c r="A40" s="2" t="s">
        <v>479</v>
      </c>
    </row>
    <row r="41" ht="15.75" customHeight="1">
      <c r="A41" s="2" t="s">
        <v>480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